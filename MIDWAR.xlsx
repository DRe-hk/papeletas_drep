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.TEBES\Downloads\"/>
    </mc:Choice>
  </mc:AlternateContent>
  <xr:revisionPtr revIDLastSave="0" documentId="13_ncr:1_{53EDF036-5CAD-4F8B-B009-846B90F88B78}" xr6:coauthVersionLast="47" xr6:coauthVersionMax="47" xr10:uidLastSave="{00000000-0000-0000-0000-000000000000}"/>
  <bookViews>
    <workbookView xWindow="0" yWindow="0" windowWidth="24000" windowHeight="12900" xr2:uid="{214A8330-D520-4EAD-AD03-72F0A05F25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2" i="1"/>
</calcChain>
</file>

<file path=xl/sharedStrings.xml><?xml version="1.0" encoding="utf-8"?>
<sst xmlns="http://schemas.openxmlformats.org/spreadsheetml/2006/main" count="492" uniqueCount="249">
  <si>
    <t>DNI</t>
  </si>
  <si>
    <t>APELLIDOS Y NOMBRES</t>
  </si>
  <si>
    <t>REGIMEN</t>
  </si>
  <si>
    <t>DEPENDENCIA</t>
  </si>
  <si>
    <t>CARGO DE TRABAJO</t>
  </si>
  <si>
    <t>AGUILAR OLIVERA GENOVEVA</t>
  </si>
  <si>
    <t>D. L. 276</t>
  </si>
  <si>
    <t>ASESORIA JURIDICA</t>
  </si>
  <si>
    <t>AUDITOR II</t>
  </si>
  <si>
    <t>AGUILAR PAREDES KELLY ANGELA</t>
  </si>
  <si>
    <t>D. L. 1057 - CAS</t>
  </si>
  <si>
    <t>DIRECCIÓN GENERAL</t>
  </si>
  <si>
    <t>ASISTENTE ADMINISTRATIVO - ACTAS Y TÍTULOS</t>
  </si>
  <si>
    <t>ALANGUIA COLLATUPA GERVACIA CRISTINA</t>
  </si>
  <si>
    <t>LEY N° 29944 – LEY DE REFORMA MAGISTERIAL</t>
  </si>
  <si>
    <t>DIRECCIÓN DE GESTIÓN PEDAGOGICA</t>
  </si>
  <si>
    <t>ESPECIALISTA EN EDUCACION</t>
  </si>
  <si>
    <t>AMANQUI QUISPE NICOLAS PEDRO</t>
  </si>
  <si>
    <t>ARROYO APAZA ROXANA ZOILA</t>
  </si>
  <si>
    <t>AVENDAÑO GORDILLO BENJAMIN FELIX</t>
  </si>
  <si>
    <t>ADMINISTRACIÓN</t>
  </si>
  <si>
    <t>CONTADOR II</t>
  </si>
  <si>
    <t>AYLLON GOMEZ LUZ DEL CARMEN</t>
  </si>
  <si>
    <t>RECURSOS HUMANOS</t>
  </si>
  <si>
    <t>ESPECIALISTA EN INSPECTORIA II</t>
  </si>
  <si>
    <t>BARRIENTOS QUISPE WILFREDO</t>
  </si>
  <si>
    <t>BARRIONUEVO HANCCO YAJAIDA NORA</t>
  </si>
  <si>
    <t>ANALISTA LEGAL REMUNERACIONES</t>
  </si>
  <si>
    <t>BARTOLO QUISPE FREDY CARLOS</t>
  </si>
  <si>
    <t>D. L. 1057 - CAS INDETERMINADO</t>
  </si>
  <si>
    <t>PERSONAL DE VIGILANCIA</t>
  </si>
  <si>
    <t>BEJAR MUÑOZ MARY LUZ</t>
  </si>
  <si>
    <t>TECNICO ADMINISTRATIVO II</t>
  </si>
  <si>
    <t>CACERES PUMA ALVARO GERSOMM</t>
  </si>
  <si>
    <t>CAS 1057 - PROGRAMA</t>
  </si>
  <si>
    <t>ESPECIALISTA DE CONVIVENCIA ESCOLAR REGIONAL</t>
  </si>
  <si>
    <t>CAHUANA LIPA ANA</t>
  </si>
  <si>
    <t>ANALISTA PERIODISTA</t>
  </si>
  <si>
    <t>CALIZAYA RAMOS JAVIER</t>
  </si>
  <si>
    <t>ARÉA DE GESTION INSTITUCIONAL</t>
  </si>
  <si>
    <t>INGENIERO II</t>
  </si>
  <si>
    <t>CALLATA OLIVERA SUNICO YURICO</t>
  </si>
  <si>
    <t>ESTADISTICO II</t>
  </si>
  <si>
    <t>CALLI VELASQUEZ LUIS ENRIQUE</t>
  </si>
  <si>
    <t xml:space="preserve">ANALISTA ADMINISTRATIVO - ABASTECIMIENTO </t>
  </si>
  <si>
    <t>CARI CONDORI DIVAN YURI</t>
  </si>
  <si>
    <t>ESPECIALISTA ADMINISTRATIVO II</t>
  </si>
  <si>
    <t>CARRASCO ZAVALA ROGER</t>
  </si>
  <si>
    <t>ABOGADO II</t>
  </si>
  <si>
    <t>CARTAGENA GORDILLO ELIANA</t>
  </si>
  <si>
    <t xml:space="preserve">CCUNO PAMPA YATSEN NATALIA </t>
  </si>
  <si>
    <t>CENTELLAS RODRIGUEZ VILMA</t>
  </si>
  <si>
    <t>CHARAJA COLQUE LUCIO</t>
  </si>
  <si>
    <t>OFICINISTA II</t>
  </si>
  <si>
    <t>CHINO PILCO DANIA</t>
  </si>
  <si>
    <t>ESPECIALISTA DE CALIDAD DEL SERVICIO EDUCATIVO SUPERIOR TECNOLÓGICO</t>
  </si>
  <si>
    <t>CHOQUEJAHUA MOLLINEDO GRICIA GISELA</t>
  </si>
  <si>
    <t xml:space="preserve">ASISTENTE ADMINISTRATIVO - ESCALAFÓN </t>
  </si>
  <si>
    <t xml:space="preserve">COAPAZA ZAPANA JUAN JOSE </t>
  </si>
  <si>
    <t>TRABAJADOR DE SERVICIO II</t>
  </si>
  <si>
    <t>COPATARQUI CALISAYA FRANCISCO LUIS</t>
  </si>
  <si>
    <t>CHOFER</t>
  </si>
  <si>
    <t xml:space="preserve">COTACALLAPA ALVAREZ  WALTER </t>
  </si>
  <si>
    <t xml:space="preserve">ASISTENTE ADMINISTRATIVO - TESORERÍA </t>
  </si>
  <si>
    <t>CRUZ ALVAREZ ROXANA</t>
  </si>
  <si>
    <t>SECRETARIA II</t>
  </si>
  <si>
    <t>CURASI CARI CARLOS JESUS</t>
  </si>
  <si>
    <t>ANALISTA LEGAL</t>
  </si>
  <si>
    <t>CUTIPA HUARCAYA ELMER</t>
  </si>
  <si>
    <t>CARGO DE CONFIANZA</t>
  </si>
  <si>
    <t>DIRECTOR DE SISTEMA ADMINISTRATIVO III</t>
  </si>
  <si>
    <t>CUTIPA MAMANI JAVIER</t>
  </si>
  <si>
    <t>ASISTENTE EN SERV. DE EDUCACION Y CULTURA</t>
  </si>
  <si>
    <t>ESTOFANERO CARI INES</t>
  </si>
  <si>
    <t>ESPECIALISTA EN FINANZAS II</t>
  </si>
  <si>
    <t xml:space="preserve">FLORES ALBERTI FERDINAN EDGAR </t>
  </si>
  <si>
    <t>DESTACADO</t>
  </si>
  <si>
    <t>TRAMITE DOCUMENTARIO</t>
  </si>
  <si>
    <t>FLORES QUISPE ERWIN EDDY</t>
  </si>
  <si>
    <t>CONF</t>
  </si>
  <si>
    <t>FLORES TICONA JAVIER</t>
  </si>
  <si>
    <t>ESPECIALISTA EN RACIONALIZACION II</t>
  </si>
  <si>
    <t>GALINDO MENDOZA JUAN FRANCISCO</t>
  </si>
  <si>
    <t>PLANIFICADOR II</t>
  </si>
  <si>
    <t>GALVEZ DE FUENTES, ZOILA ROSA</t>
  </si>
  <si>
    <t>DESTACADA</t>
  </si>
  <si>
    <t>FEDATARIA</t>
  </si>
  <si>
    <t>GOMEZ QUILCA LUZ MARINA</t>
  </si>
  <si>
    <t>CONSTANCIA DE PAGOS</t>
  </si>
  <si>
    <t>GUEVARA MACHACA VALENTIN</t>
  </si>
  <si>
    <t>TECNICO EN INGENIERIA II</t>
  </si>
  <si>
    <t>GUILLEN VALDEZ ESMERALDA ANA</t>
  </si>
  <si>
    <t>HERENCIA CONDORI FANY LUCY</t>
  </si>
  <si>
    <t>ORGANO DE CONTROL INTERNO</t>
  </si>
  <si>
    <t xml:space="preserve">ASISTENTE ADMINISTRATIVO - OCI </t>
  </si>
  <si>
    <t xml:space="preserve">HOLGUIN ENRIQUEZ PAOLA MARIBEL </t>
  </si>
  <si>
    <t>SECRETARIA</t>
  </si>
  <si>
    <t>HUANCA MAMANI JESUS NAPOLEON</t>
  </si>
  <si>
    <t>HUANCA MARIN GUADALUPE IRIS</t>
  </si>
  <si>
    <t>HUMPIRE COLQUEHUANCA ELIAS HUGO</t>
  </si>
  <si>
    <t>INFANTES PEREZ GLADYS</t>
  </si>
  <si>
    <t>SECRETARIA III</t>
  </si>
  <si>
    <t>JARA CUNO DANITZA DEL ROCIO</t>
  </si>
  <si>
    <t xml:space="preserve">ASISTENTE ADMINISTRATIVO - ALMACEN </t>
  </si>
  <si>
    <t>LAURA FLORES GREGORIA</t>
  </si>
  <si>
    <t>LEQQUE QUISPE VILMA</t>
  </si>
  <si>
    <t>CAJERO II</t>
  </si>
  <si>
    <t>LEZANO AQUICE, NARDY ROXANA</t>
  </si>
  <si>
    <t>ABOGADA</t>
  </si>
  <si>
    <t>LLANO FLORES, LUIS</t>
  </si>
  <si>
    <t>DESTACADO - ACTAS Y CERTIFICADOS</t>
  </si>
  <si>
    <t>LOAIZA MANZANO PATRICIA NORMA</t>
  </si>
  <si>
    <t>LOPEZ USEDO, MARTHA GLADYS</t>
  </si>
  <si>
    <t>DESTACADA - INFORMATICA</t>
  </si>
  <si>
    <t>LUJANO CHAMBILLA FLAVIO METODIO</t>
  </si>
  <si>
    <t>OPERADOR PAD II</t>
  </si>
  <si>
    <t>MALDONADO RODRIGUEZ JUAN IBER</t>
  </si>
  <si>
    <t>ESPECIALISTA DE INSTITUTOS PEDAGOGICOS</t>
  </si>
  <si>
    <t>MAMANI MAMANI YNES BEATRIZ</t>
  </si>
  <si>
    <t>ASISTENTE ADMINISTRATIVO - TRÁMITE DOCUMENTARIO</t>
  </si>
  <si>
    <t>MAMANI MONZON FRANCISCA</t>
  </si>
  <si>
    <t>MAMANI PATATINGO MIRYAM YERICA</t>
  </si>
  <si>
    <t xml:space="preserve">ANALISTA EN REMUNERACIONES - PENSIONES </t>
  </si>
  <si>
    <t>MIRANDA CRUZ LUZ MARIBEL</t>
  </si>
  <si>
    <t>NOTIFICADOR  -  TRÁMITE DOCUMENTARIO</t>
  </si>
  <si>
    <t xml:space="preserve">MIRANDA MENDOZA ROCIO </t>
  </si>
  <si>
    <t>ABOGADA SENTENCIAS JUDICIALES</t>
  </si>
  <si>
    <t>MIRANDA SALAS JUDITH EDY</t>
  </si>
  <si>
    <t>MONZON COAQUIRA PEDRO SERAFIN</t>
  </si>
  <si>
    <t>NEIRA D. L. 1057 - CASTRO MARIA ROSALIA</t>
  </si>
  <si>
    <t>ÑAUPA CHOQUEHUANCA MIDWAR WILLIANS</t>
  </si>
  <si>
    <t>ANALISTA - SOPORTE TÉCNICO EN SISTEMAS</t>
  </si>
  <si>
    <t>ORTEGA LIMACHI MOISES</t>
  </si>
  <si>
    <t>PACHO ALVAREZ RENE OSWALDO</t>
  </si>
  <si>
    <t>PANIURA QUISPE, MARIA ROSA</t>
  </si>
  <si>
    <t>PAREDES ASTRULLA FREDY EVARISTO</t>
  </si>
  <si>
    <t>DIRECTOR DE GESTIÓN PEDAGÓGICA</t>
  </si>
  <si>
    <t>PARICAHUA CONDORI DAVID HERMENEGILDO</t>
  </si>
  <si>
    <t>PEREZ TOMA LUIS ALBERTO</t>
  </si>
  <si>
    <t>PINEDA QUISPE VALERIANO</t>
  </si>
  <si>
    <t>CHOFER II</t>
  </si>
  <si>
    <t>PINEDA VILLANUEVA EDWIN</t>
  </si>
  <si>
    <t>ESPECIALISTA DE INSTITUTOS Y ESFAS</t>
  </si>
  <si>
    <t>QUENTA CALISAYA LUIS FERNANDO</t>
  </si>
  <si>
    <t xml:space="preserve">ANALISTA - CEPLAN </t>
  </si>
  <si>
    <t>QUISPE CALIZAYA LUZ ELIANA</t>
  </si>
  <si>
    <t>QUISPE CORONADO FIORELA BEATRIZ</t>
  </si>
  <si>
    <t>QUISPE DE LA CRUZ NESTOR</t>
  </si>
  <si>
    <t>PERIODISTA II</t>
  </si>
  <si>
    <t>QUISPE JARA MIRIAN</t>
  </si>
  <si>
    <t>QUISPE LUJANO MARIANELA</t>
  </si>
  <si>
    <t>QUISPE VILCA GABRIEL</t>
  </si>
  <si>
    <t>RAMOS ALIAGA, NOEMI YESENIA</t>
  </si>
  <si>
    <t>RAMOS COAQUIRA MARCO ANTONIO</t>
  </si>
  <si>
    <t>RAMOS ORTEGA SINFORIANO JAIME</t>
  </si>
  <si>
    <t>RIOS SALAZAR ALAN SANDRO</t>
  </si>
  <si>
    <t>ANALISTA NEXUS</t>
  </si>
  <si>
    <t>RODRIGUEZ QUISPE FELIX</t>
  </si>
  <si>
    <t>DIRECTOR DE PROGRAMA SECTORIAL IV</t>
  </si>
  <si>
    <t>ROMERO ORTIZ ELBA MARIA</t>
  </si>
  <si>
    <t>SALAS LLANOS OMAR JESUS</t>
  </si>
  <si>
    <t>SALAS SEVILLA JOSE OLIVERIO</t>
  </si>
  <si>
    <t>TESORERO II</t>
  </si>
  <si>
    <t>SANIZO MAMANI ADRIAN</t>
  </si>
  <si>
    <t>SUCARI SUCARI HECTOR RAUL</t>
  </si>
  <si>
    <t>TEBES ALEJO ELOY ROLANDO</t>
  </si>
  <si>
    <t>ANALISTA DE SISTEMAS PAD II</t>
  </si>
  <si>
    <t>TEJADA SANTOS INES VARIN</t>
  </si>
  <si>
    <t>ASISTENTE ADMINISTRATIVO</t>
  </si>
  <si>
    <t>TICONA QUISPE JUAN MILER</t>
  </si>
  <si>
    <t>ANALISTA EN AUTOMATIZACIÓN - ARCHIVOS</t>
  </si>
  <si>
    <t>TICONA REMOND BILL BRANDON</t>
  </si>
  <si>
    <t>TECNICO ADMINISTRATIVO II - IMPRESIONES</t>
  </si>
  <si>
    <t>TICONA RAMOS ROMAN ANDRES</t>
  </si>
  <si>
    <t>TURPO PANCCA ILDIFONZO WALTER</t>
  </si>
  <si>
    <t>VALDIVIA FLORES FLOR EDITH</t>
  </si>
  <si>
    <t xml:space="preserve">ANALISTA ADMINISTRATIVO - TOPOGRAFO </t>
  </si>
  <si>
    <t>VALENCIA PACHO JUDITH BLANCA</t>
  </si>
  <si>
    <t>VALERIANO FLORES VICTOR</t>
  </si>
  <si>
    <t>VARGAS HUAQUI SANDRA MARLENE</t>
  </si>
  <si>
    <t>ASISTENTA SOCIAL</t>
  </si>
  <si>
    <t>VASQUEZ GONZA  ELIZABETH</t>
  </si>
  <si>
    <t>ANALISTA - AIRHSP</t>
  </si>
  <si>
    <t>VELASQUEZ RAMOS CRISTIAN YERARDO</t>
  </si>
  <si>
    <t>ANALISTA EN REMUNERACIONES - PENSIONES</t>
  </si>
  <si>
    <t>VELIZ AGUILAR RICHAR ANDRES</t>
  </si>
  <si>
    <t xml:space="preserve">ANALISTA LEGAL - SANEAMIENTO FISICO LEGAL </t>
  </si>
  <si>
    <t xml:space="preserve">VILCA SOTO JOSE </t>
  </si>
  <si>
    <t xml:space="preserve">ANALISTA LEGAL </t>
  </si>
  <si>
    <t>VILLAVICENCIO PAREDES DARLYS GUADALUPE</t>
  </si>
  <si>
    <t>ASISTENTE ADMINISTRATIVO - FINANZAS</t>
  </si>
  <si>
    <t>YUCRA MEDINA DAYANA ELIZABETH</t>
  </si>
  <si>
    <t>ARQUITECTA</t>
  </si>
  <si>
    <t>YUGRA ESTEBA ELEAZAR</t>
  </si>
  <si>
    <t>ANALISTA ADMINISTRATIVO</t>
  </si>
  <si>
    <t>ZAMATA CHOQUE NOEMI YANINA</t>
  </si>
  <si>
    <t>ZEVALLOS APAZA JUAN</t>
  </si>
  <si>
    <t>ZAPANA PAUCAR RUBEN WILBER</t>
  </si>
  <si>
    <t>01217172</t>
  </si>
  <si>
    <t>01225920</t>
  </si>
  <si>
    <t>01322189</t>
  </si>
  <si>
    <t>01311335</t>
  </si>
  <si>
    <t>01332089</t>
  </si>
  <si>
    <t>01306317</t>
  </si>
  <si>
    <t>02442850</t>
  </si>
  <si>
    <t>02039119</t>
  </si>
  <si>
    <t>01217455</t>
  </si>
  <si>
    <t>01281095</t>
  </si>
  <si>
    <t>01343664</t>
  </si>
  <si>
    <t>01221959</t>
  </si>
  <si>
    <t>01556198</t>
  </si>
  <si>
    <t>01314985</t>
  </si>
  <si>
    <t>01305086</t>
  </si>
  <si>
    <t>01249193</t>
  </si>
  <si>
    <t>02008080</t>
  </si>
  <si>
    <t>01214226</t>
  </si>
  <si>
    <t>01206432</t>
  </si>
  <si>
    <t>01213143</t>
  </si>
  <si>
    <t>02444536</t>
  </si>
  <si>
    <t>01320209</t>
  </si>
  <si>
    <t>01216856</t>
  </si>
  <si>
    <t>01221864</t>
  </si>
  <si>
    <t>01234883</t>
  </si>
  <si>
    <t>01334984</t>
  </si>
  <si>
    <t>02409729</t>
  </si>
  <si>
    <t>01308159</t>
  </si>
  <si>
    <t>02435858</t>
  </si>
  <si>
    <t>01288311</t>
  </si>
  <si>
    <t>44645758</t>
  </si>
  <si>
    <t>01297609</t>
  </si>
  <si>
    <t>01489874</t>
  </si>
  <si>
    <t>01214246</t>
  </si>
  <si>
    <t>01326503</t>
  </si>
  <si>
    <t>01296917</t>
  </si>
  <si>
    <t>01201059</t>
  </si>
  <si>
    <t>01204384</t>
  </si>
  <si>
    <t>01226916</t>
  </si>
  <si>
    <t>01307186</t>
  </si>
  <si>
    <t>01287196</t>
  </si>
  <si>
    <t>01282409</t>
  </si>
  <si>
    <t>01304911</t>
  </si>
  <si>
    <t>01321833</t>
  </si>
  <si>
    <t>40471999</t>
  </si>
  <si>
    <t>71057718</t>
  </si>
  <si>
    <t>02265267</t>
  </si>
  <si>
    <t>01311332</t>
  </si>
  <si>
    <t>01333535</t>
  </si>
  <si>
    <t>02146584</t>
  </si>
  <si>
    <t>01287700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</si>
</sst>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/>
    <xf numFmtId="49" fontId="4" fillId="0" borderId="2" xfId="0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6791B-3F7E-4624-B473-2940E5313DE0}">
  <dimension ref="C1:I110"/>
  <sheetViews>
    <sheetView tabSelected="1" topLeftCell="A34" zoomScale="40" zoomScaleNormal="40" workbookViewId="0">
      <selection activeCell="C86" sqref="C86"/>
    </sheetView>
  </sheetViews>
  <sheetFormatPr baseColWidth="10" defaultColWidth="11.5703125" defaultRowHeight="12.75" x14ac:dyDescent="0.2"/>
  <cols>
    <col min="1" max="2" width="11.5703125" style="5"/>
    <col min="3" max="3" width="9.85546875" style="16" customWidth="1"/>
    <col min="4" max="4" width="38.85546875" style="5" customWidth="1"/>
    <col min="5" max="5" width="45.140625" style="10" bestFit="1" customWidth="1"/>
    <col min="6" max="6" width="36.42578125" style="10" bestFit="1" customWidth="1"/>
    <col min="7" max="7" width="52.140625" style="5" customWidth="1"/>
    <col min="8" max="16384" width="11.5703125" style="5"/>
  </cols>
  <sheetData>
    <row r="1" spans="3:9" s="2" customFormat="1" x14ac:dyDescent="0.2">
      <c r="C1" s="1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3:9" x14ac:dyDescent="0.2">
      <c r="C2" s="12" t="s">
        <v>198</v>
      </c>
      <c r="D2" s="3" t="s">
        <v>5</v>
      </c>
      <c r="E2" s="4" t="s">
        <v>6</v>
      </c>
      <c r="F2" s="4" t="s">
        <v>7</v>
      </c>
      <c r="G2" s="3" t="s">
        <v>8</v>
      </c>
      <c r="I2" s="5" t="str">
        <f>CONCATENATE(C2,",",D2,",",E2,",",E2,",",F2,",",G2)</f>
        <v>01217172,AGUILAR OLIVERA GENOVEVA,D. L. 276,D. L. 276,ASESORIA JURIDICA,AUDITOR II</v>
      </c>
    </row>
    <row r="3" spans="3:9" x14ac:dyDescent="0.2">
      <c r="C3" s="12">
        <v>70320386</v>
      </c>
      <c r="D3" s="3" t="s">
        <v>9</v>
      </c>
      <c r="E3" s="4" t="s">
        <v>10</v>
      </c>
      <c r="F3" s="4" t="s">
        <v>11</v>
      </c>
      <c r="G3" s="3" t="s">
        <v>12</v>
      </c>
      <c r="I3" s="5" t="str">
        <f t="shared" ref="I3:I66" si="0">CONCATENATE(C3,",",D3,",",E3,",",E3,",",F3,",",G3)</f>
        <v>70320386,AGUILAR PAREDES KELLY ANGELA,D. L. 1057 - CAS,D. L. 1057 - CAS,DIRECCIÓN GENERAL,ASISTENTE ADMINISTRATIVO - ACTAS Y TÍTULOS</v>
      </c>
    </row>
    <row r="4" spans="3:9" x14ac:dyDescent="0.2">
      <c r="C4" s="12" t="s">
        <v>199</v>
      </c>
      <c r="D4" s="3" t="s">
        <v>13</v>
      </c>
      <c r="E4" s="4" t="s">
        <v>14</v>
      </c>
      <c r="F4" s="4" t="s">
        <v>15</v>
      </c>
      <c r="G4" s="3" t="s">
        <v>16</v>
      </c>
      <c r="I4" s="5" t="str">
        <f t="shared" si="0"/>
        <v>01225920,ALANGUIA COLLATUPA GERVACIA CRISTINA,LEY N° 29944 – LEY DE REFORMA MAGISTERIAL,LEY N° 29944 – LEY DE REFORMA MAGISTERIAL,DIRECCIÓN DE GESTIÓN PEDAGOGICA,ESPECIALISTA EN EDUCACION</v>
      </c>
    </row>
    <row r="5" spans="3:9" x14ac:dyDescent="0.2">
      <c r="C5" s="12">
        <v>29558724</v>
      </c>
      <c r="D5" s="3" t="s">
        <v>17</v>
      </c>
      <c r="E5" s="4" t="s">
        <v>14</v>
      </c>
      <c r="F5" s="4" t="s">
        <v>15</v>
      </c>
      <c r="G5" s="3" t="s">
        <v>16</v>
      </c>
      <c r="I5" s="5" t="str">
        <f t="shared" si="0"/>
        <v>29558724,AMANQUI QUISPE NICOLAS PEDRO,LEY N° 29944 – LEY DE REFORMA MAGISTERIAL,LEY N° 29944 – LEY DE REFORMA MAGISTERIAL,DIRECCIÓN DE GESTIÓN PEDAGOGICA,ESPECIALISTA EN EDUCACION</v>
      </c>
    </row>
    <row r="6" spans="3:9" x14ac:dyDescent="0.2">
      <c r="C6" s="12" t="s">
        <v>200</v>
      </c>
      <c r="D6" s="3" t="s">
        <v>18</v>
      </c>
      <c r="E6" s="4" t="s">
        <v>14</v>
      </c>
      <c r="F6" s="4" t="s">
        <v>15</v>
      </c>
      <c r="G6" s="3" t="s">
        <v>16</v>
      </c>
      <c r="I6" s="5" t="str">
        <f t="shared" si="0"/>
        <v>01322189,ARROYO APAZA ROXANA ZOILA,LEY N° 29944 – LEY DE REFORMA MAGISTERIAL,LEY N° 29944 – LEY DE REFORMA MAGISTERIAL,DIRECCIÓN DE GESTIÓN PEDAGOGICA,ESPECIALISTA EN EDUCACION</v>
      </c>
    </row>
    <row r="7" spans="3:9" x14ac:dyDescent="0.2">
      <c r="C7" s="12" t="s">
        <v>201</v>
      </c>
      <c r="D7" s="3" t="s">
        <v>19</v>
      </c>
      <c r="E7" s="4" t="s">
        <v>6</v>
      </c>
      <c r="F7" s="4" t="s">
        <v>20</v>
      </c>
      <c r="G7" s="3" t="s">
        <v>21</v>
      </c>
      <c r="I7" s="5" t="str">
        <f t="shared" si="0"/>
        <v>01311335,AVENDAÑO GORDILLO BENJAMIN FELIX,D. L. 276,D. L. 276,ADMINISTRACIÓN,CONTADOR II</v>
      </c>
    </row>
    <row r="8" spans="3:9" x14ac:dyDescent="0.2">
      <c r="C8" s="12" t="s">
        <v>202</v>
      </c>
      <c r="D8" s="3" t="s">
        <v>22</v>
      </c>
      <c r="E8" s="4" t="s">
        <v>10</v>
      </c>
      <c r="F8" s="4" t="s">
        <v>23</v>
      </c>
      <c r="G8" s="3" t="s">
        <v>24</v>
      </c>
      <c r="I8" s="5" t="str">
        <f t="shared" si="0"/>
        <v>01332089,AYLLON GOMEZ LUZ DEL CARMEN,D. L. 1057 - CAS,D. L. 1057 - CAS,RECURSOS HUMANOS,ESPECIALISTA EN INSPECTORIA II</v>
      </c>
    </row>
    <row r="9" spans="3:9" x14ac:dyDescent="0.2">
      <c r="C9" s="12" t="s">
        <v>203</v>
      </c>
      <c r="D9" s="3" t="s">
        <v>25</v>
      </c>
      <c r="E9" s="4" t="s">
        <v>14</v>
      </c>
      <c r="F9" s="4" t="s">
        <v>15</v>
      </c>
      <c r="G9" s="3" t="s">
        <v>16</v>
      </c>
      <c r="I9" s="5" t="str">
        <f t="shared" si="0"/>
        <v>01306317,BARRIENTOS QUISPE WILFREDO,LEY N° 29944 – LEY DE REFORMA MAGISTERIAL,LEY N° 29944 – LEY DE REFORMA MAGISTERIAL,DIRECCIÓN DE GESTIÓN PEDAGOGICA,ESPECIALISTA EN EDUCACION</v>
      </c>
    </row>
    <row r="10" spans="3:9" x14ac:dyDescent="0.2">
      <c r="C10" s="13">
        <v>44392239</v>
      </c>
      <c r="D10" s="6" t="s">
        <v>26</v>
      </c>
      <c r="E10" s="4" t="s">
        <v>10</v>
      </c>
      <c r="F10" s="4" t="s">
        <v>11</v>
      </c>
      <c r="G10" s="6" t="s">
        <v>27</v>
      </c>
      <c r="I10" s="5" t="str">
        <f t="shared" si="0"/>
        <v>44392239,BARRIONUEVO HANCCO YAJAIDA NORA,D. L. 1057 - CAS,D. L. 1057 - CAS,DIRECCIÓN GENERAL,ANALISTA LEGAL REMUNERACIONES</v>
      </c>
    </row>
    <row r="11" spans="3:9" x14ac:dyDescent="0.2">
      <c r="C11" s="12">
        <v>48965677</v>
      </c>
      <c r="D11" s="3" t="s">
        <v>28</v>
      </c>
      <c r="E11" s="4" t="s">
        <v>29</v>
      </c>
      <c r="F11" s="4" t="s">
        <v>20</v>
      </c>
      <c r="G11" s="3" t="s">
        <v>30</v>
      </c>
      <c r="I11" s="5" t="str">
        <f t="shared" si="0"/>
        <v>48965677,BARTOLO QUISPE FREDY CARLOS,D. L. 1057 - CAS INDETERMINADO,D. L. 1057 - CAS INDETERMINADO,ADMINISTRACIÓN,PERSONAL DE VIGILANCIA</v>
      </c>
    </row>
    <row r="12" spans="3:9" x14ac:dyDescent="0.2">
      <c r="C12" s="12" t="s">
        <v>204</v>
      </c>
      <c r="D12" s="3" t="s">
        <v>31</v>
      </c>
      <c r="E12" s="4" t="s">
        <v>6</v>
      </c>
      <c r="F12" s="4" t="s">
        <v>20</v>
      </c>
      <c r="G12" s="3" t="s">
        <v>32</v>
      </c>
      <c r="I12" s="5" t="str">
        <f t="shared" si="0"/>
        <v>02442850,BEJAR MUÑOZ MARY LUZ,D. L. 276,D. L. 276,ADMINISTRACIÓN,TECNICO ADMINISTRATIVO II</v>
      </c>
    </row>
    <row r="13" spans="3:9" x14ac:dyDescent="0.2">
      <c r="C13" s="13">
        <v>40591569</v>
      </c>
      <c r="D13" s="6" t="s">
        <v>33</v>
      </c>
      <c r="E13" s="4" t="s">
        <v>34</v>
      </c>
      <c r="F13" s="4" t="s">
        <v>15</v>
      </c>
      <c r="G13" s="6" t="s">
        <v>35</v>
      </c>
      <c r="I13" s="5" t="str">
        <f t="shared" si="0"/>
        <v>40591569,CACERES PUMA ALVARO GERSOMM,CAS 1057 - PROGRAMA,CAS 1057 - PROGRAMA,DIRECCIÓN DE GESTIÓN PEDAGOGICA,ESPECIALISTA DE CONVIVENCIA ESCOLAR REGIONAL</v>
      </c>
    </row>
    <row r="14" spans="3:9" x14ac:dyDescent="0.2">
      <c r="C14" s="13">
        <v>44710269</v>
      </c>
      <c r="D14" s="7" t="s">
        <v>36</v>
      </c>
      <c r="E14" s="4" t="s">
        <v>10</v>
      </c>
      <c r="F14" s="4" t="s">
        <v>11</v>
      </c>
      <c r="G14" s="7" t="s">
        <v>37</v>
      </c>
      <c r="I14" s="5" t="str">
        <f t="shared" si="0"/>
        <v>44710269,CAHUANA LIPA ANA,D. L. 1057 - CAS,D. L. 1057 - CAS,DIRECCIÓN GENERAL,ANALISTA PERIODISTA</v>
      </c>
    </row>
    <row r="15" spans="3:9" x14ac:dyDescent="0.2">
      <c r="C15" s="12">
        <v>80053622</v>
      </c>
      <c r="D15" s="3" t="s">
        <v>38</v>
      </c>
      <c r="E15" s="4" t="s">
        <v>6</v>
      </c>
      <c r="F15" s="4" t="s">
        <v>39</v>
      </c>
      <c r="G15" s="3" t="s">
        <v>40</v>
      </c>
      <c r="I15" s="5" t="str">
        <f t="shared" si="0"/>
        <v>80053622,CALIZAYA RAMOS JAVIER,D. L. 276,D. L. 276,ARÉA DE GESTION INSTITUCIONAL,INGENIERO II</v>
      </c>
    </row>
    <row r="16" spans="3:9" x14ac:dyDescent="0.2">
      <c r="C16" s="13">
        <v>71785216</v>
      </c>
      <c r="D16" s="7" t="s">
        <v>41</v>
      </c>
      <c r="E16" s="4" t="s">
        <v>6</v>
      </c>
      <c r="F16" s="4" t="s">
        <v>39</v>
      </c>
      <c r="G16" s="7" t="s">
        <v>42</v>
      </c>
      <c r="I16" s="5" t="str">
        <f t="shared" si="0"/>
        <v>71785216,CALLATA OLIVERA SUNICO YURICO,D. L. 276,D. L. 276,ARÉA DE GESTION INSTITUCIONAL,ESTADISTICO II</v>
      </c>
    </row>
    <row r="17" spans="3:9" x14ac:dyDescent="0.2">
      <c r="C17" s="12">
        <v>70185013</v>
      </c>
      <c r="D17" s="3" t="s">
        <v>43</v>
      </c>
      <c r="E17" s="4" t="s">
        <v>10</v>
      </c>
      <c r="F17" s="4" t="s">
        <v>20</v>
      </c>
      <c r="G17" s="3" t="s">
        <v>44</v>
      </c>
      <c r="I17" s="5" t="str">
        <f t="shared" si="0"/>
        <v xml:space="preserve">70185013,CALLI VELASQUEZ LUIS ENRIQUE,D. L. 1057 - CAS,D. L. 1057 - CAS,ADMINISTRACIÓN,ANALISTA ADMINISTRATIVO - ABASTECIMIENTO </v>
      </c>
    </row>
    <row r="18" spans="3:9" x14ac:dyDescent="0.2">
      <c r="C18" s="12" t="s">
        <v>205</v>
      </c>
      <c r="D18" s="3" t="s">
        <v>45</v>
      </c>
      <c r="E18" s="4" t="s">
        <v>6</v>
      </c>
      <c r="F18" s="4" t="s">
        <v>11</v>
      </c>
      <c r="G18" s="3" t="s">
        <v>46</v>
      </c>
      <c r="I18" s="5" t="str">
        <f t="shared" si="0"/>
        <v>02039119,CARI CONDORI DIVAN YURI,D. L. 276,D. L. 276,DIRECCIÓN GENERAL,ESPECIALISTA ADMINISTRATIVO II</v>
      </c>
    </row>
    <row r="19" spans="3:9" x14ac:dyDescent="0.2">
      <c r="C19" s="12" t="s">
        <v>206</v>
      </c>
      <c r="D19" s="3" t="s">
        <v>47</v>
      </c>
      <c r="E19" s="4" t="s">
        <v>6</v>
      </c>
      <c r="F19" s="4" t="s">
        <v>7</v>
      </c>
      <c r="G19" s="3" t="s">
        <v>48</v>
      </c>
      <c r="I19" s="5" t="str">
        <f t="shared" si="0"/>
        <v>01217455,CARRASCO ZAVALA ROGER,D. L. 276,D. L. 276,ASESORIA JURIDICA,ABOGADO II</v>
      </c>
    </row>
    <row r="20" spans="3:9" x14ac:dyDescent="0.2">
      <c r="C20" s="12" t="s">
        <v>207</v>
      </c>
      <c r="D20" s="3" t="s">
        <v>49</v>
      </c>
      <c r="E20" s="4" t="s">
        <v>6</v>
      </c>
      <c r="F20" s="4" t="s">
        <v>11</v>
      </c>
      <c r="G20" s="3" t="s">
        <v>32</v>
      </c>
      <c r="I20" s="5" t="str">
        <f t="shared" si="0"/>
        <v>01281095,CARTAGENA GORDILLO ELIANA,D. L. 276,D. L. 276,DIRECCIÓN GENERAL,TECNICO ADMINISTRATIVO II</v>
      </c>
    </row>
    <row r="21" spans="3:9" x14ac:dyDescent="0.2">
      <c r="C21" s="12">
        <v>73059153</v>
      </c>
      <c r="D21" s="3" t="s">
        <v>50</v>
      </c>
      <c r="E21" s="4" t="s">
        <v>6</v>
      </c>
      <c r="F21" s="4" t="s">
        <v>23</v>
      </c>
      <c r="G21" s="3" t="s">
        <v>32</v>
      </c>
      <c r="I21" s="5" t="str">
        <f t="shared" si="0"/>
        <v>73059153,CCUNO PAMPA YATSEN NATALIA ,D. L. 276,D. L. 276,RECURSOS HUMANOS,TECNICO ADMINISTRATIVO II</v>
      </c>
    </row>
    <row r="22" spans="3:9" x14ac:dyDescent="0.2">
      <c r="C22" s="12" t="s">
        <v>208</v>
      </c>
      <c r="D22" s="3" t="s">
        <v>51</v>
      </c>
      <c r="E22" s="4" t="s">
        <v>14</v>
      </c>
      <c r="F22" s="4" t="s">
        <v>15</v>
      </c>
      <c r="G22" s="3" t="s">
        <v>16</v>
      </c>
      <c r="I22" s="5" t="str">
        <f t="shared" si="0"/>
        <v>01343664,CENTELLAS RODRIGUEZ VILMA,LEY N° 29944 – LEY DE REFORMA MAGISTERIAL,LEY N° 29944 – LEY DE REFORMA MAGISTERIAL,DIRECCIÓN DE GESTIÓN PEDAGOGICA,ESPECIALISTA EN EDUCACION</v>
      </c>
    </row>
    <row r="23" spans="3:9" x14ac:dyDescent="0.2">
      <c r="C23" s="12" t="s">
        <v>209</v>
      </c>
      <c r="D23" s="3" t="s">
        <v>52</v>
      </c>
      <c r="E23" s="4" t="s">
        <v>6</v>
      </c>
      <c r="F23" s="4" t="s">
        <v>15</v>
      </c>
      <c r="G23" s="3" t="s">
        <v>53</v>
      </c>
      <c r="I23" s="5" t="str">
        <f t="shared" si="0"/>
        <v>01221959,CHARAJA COLQUE LUCIO,D. L. 276,D. L. 276,DIRECCIÓN DE GESTIÓN PEDAGOGICA,OFICINISTA II</v>
      </c>
    </row>
    <row r="24" spans="3:9" x14ac:dyDescent="0.2">
      <c r="C24" s="13">
        <v>47576178</v>
      </c>
      <c r="D24" s="6" t="s">
        <v>54</v>
      </c>
      <c r="E24" s="4" t="s">
        <v>34</v>
      </c>
      <c r="F24" s="4" t="s">
        <v>15</v>
      </c>
      <c r="G24" s="8" t="s">
        <v>55</v>
      </c>
      <c r="I24" s="5" t="str">
        <f t="shared" si="0"/>
        <v>47576178,CHINO PILCO DANIA,CAS 1057 - PROGRAMA,CAS 1057 - PROGRAMA,DIRECCIÓN DE GESTIÓN PEDAGOGICA,ESPECIALISTA DE CALIDAD DEL SERVICIO EDUCATIVO SUPERIOR TECNOLÓGICO</v>
      </c>
    </row>
    <row r="25" spans="3:9" x14ac:dyDescent="0.2">
      <c r="C25" s="12">
        <v>48064450</v>
      </c>
      <c r="D25" s="3" t="s">
        <v>56</v>
      </c>
      <c r="E25" s="4" t="s">
        <v>10</v>
      </c>
      <c r="F25" s="4" t="s">
        <v>23</v>
      </c>
      <c r="G25" s="3" t="s">
        <v>57</v>
      </c>
      <c r="I25" s="5" t="str">
        <f t="shared" si="0"/>
        <v xml:space="preserve">48064450,CHOQUEJAHUA MOLLINEDO GRICIA GISELA,D. L. 1057 - CAS,D. L. 1057 - CAS,RECURSOS HUMANOS,ASISTENTE ADMINISTRATIVO - ESCALAFÓN </v>
      </c>
    </row>
    <row r="26" spans="3:9" x14ac:dyDescent="0.2">
      <c r="C26" s="13">
        <v>76769267</v>
      </c>
      <c r="D26" s="7" t="s">
        <v>58</v>
      </c>
      <c r="E26" s="4" t="s">
        <v>6</v>
      </c>
      <c r="F26" s="4" t="s">
        <v>20</v>
      </c>
      <c r="G26" s="3" t="s">
        <v>59</v>
      </c>
      <c r="I26" s="5" t="str">
        <f t="shared" si="0"/>
        <v>76769267,COAPAZA ZAPANA JUAN JOSE ,D. L. 276,D. L. 276,ADMINISTRACIÓN,TRABAJADOR DE SERVICIO II</v>
      </c>
    </row>
    <row r="27" spans="3:9" x14ac:dyDescent="0.2">
      <c r="C27" s="12">
        <v>42668116</v>
      </c>
      <c r="D27" s="3" t="s">
        <v>60</v>
      </c>
      <c r="E27" s="4" t="s">
        <v>10</v>
      </c>
      <c r="F27" s="4" t="s">
        <v>20</v>
      </c>
      <c r="G27" s="3" t="s">
        <v>61</v>
      </c>
      <c r="I27" s="5" t="str">
        <f t="shared" si="0"/>
        <v>42668116,COPATARQUI CALISAYA FRANCISCO LUIS,D. L. 1057 - CAS,D. L. 1057 - CAS,ADMINISTRACIÓN,CHOFER</v>
      </c>
    </row>
    <row r="28" spans="3:9" x14ac:dyDescent="0.2">
      <c r="C28" s="12" t="s">
        <v>210</v>
      </c>
      <c r="D28" s="3" t="s">
        <v>62</v>
      </c>
      <c r="E28" s="4" t="s">
        <v>10</v>
      </c>
      <c r="F28" s="4" t="s">
        <v>20</v>
      </c>
      <c r="G28" s="3" t="s">
        <v>63</v>
      </c>
      <c r="I28" s="5" t="str">
        <f t="shared" si="0"/>
        <v xml:space="preserve">01556198,COTACALLAPA ALVAREZ  WALTER ,D. L. 1057 - CAS,D. L. 1057 - CAS,ADMINISTRACIÓN,ASISTENTE ADMINISTRATIVO - TESORERÍA </v>
      </c>
    </row>
    <row r="29" spans="3:9" x14ac:dyDescent="0.2">
      <c r="C29" s="12">
        <v>40968952</v>
      </c>
      <c r="D29" s="3" t="s">
        <v>64</v>
      </c>
      <c r="E29" s="4" t="s">
        <v>6</v>
      </c>
      <c r="F29" s="4" t="s">
        <v>39</v>
      </c>
      <c r="G29" s="3" t="s">
        <v>65</v>
      </c>
      <c r="I29" s="5" t="str">
        <f t="shared" si="0"/>
        <v>40968952,CRUZ ALVAREZ ROXANA,D. L. 276,D. L. 276,ARÉA DE GESTION INSTITUCIONAL,SECRETARIA II</v>
      </c>
    </row>
    <row r="30" spans="3:9" x14ac:dyDescent="0.2">
      <c r="C30" s="12">
        <v>71046690</v>
      </c>
      <c r="D30" s="3" t="s">
        <v>66</v>
      </c>
      <c r="E30" s="4" t="s">
        <v>10</v>
      </c>
      <c r="F30" s="4" t="s">
        <v>7</v>
      </c>
      <c r="G30" s="3" t="s">
        <v>67</v>
      </c>
      <c r="I30" s="5" t="str">
        <f t="shared" si="0"/>
        <v>71046690,CURASI CARI CARLOS JESUS,D. L. 1057 - CAS,D. L. 1057 - CAS,ASESORIA JURIDICA,ANALISTA LEGAL</v>
      </c>
    </row>
    <row r="31" spans="3:9" x14ac:dyDescent="0.2">
      <c r="C31" s="12">
        <v>41977753</v>
      </c>
      <c r="D31" s="3" t="s">
        <v>68</v>
      </c>
      <c r="E31" s="4" t="s">
        <v>69</v>
      </c>
      <c r="F31" s="4" t="s">
        <v>39</v>
      </c>
      <c r="G31" s="3" t="s">
        <v>70</v>
      </c>
      <c r="I31" s="5" t="str">
        <f t="shared" si="0"/>
        <v>41977753,CUTIPA HUARCAYA ELMER,CARGO DE CONFIANZA,CARGO DE CONFIANZA,ARÉA DE GESTION INSTITUCIONAL,DIRECTOR DE SISTEMA ADMINISTRATIVO III</v>
      </c>
    </row>
    <row r="32" spans="3:9" x14ac:dyDescent="0.2">
      <c r="C32" s="12" t="s">
        <v>211</v>
      </c>
      <c r="D32" s="3" t="s">
        <v>71</v>
      </c>
      <c r="E32" s="4" t="s">
        <v>6</v>
      </c>
      <c r="F32" s="4" t="s">
        <v>15</v>
      </c>
      <c r="G32" s="3" t="s">
        <v>72</v>
      </c>
      <c r="I32" s="5" t="str">
        <f t="shared" si="0"/>
        <v>01314985,CUTIPA MAMANI JAVIER,D. L. 276,D. L. 276,DIRECCIÓN DE GESTIÓN PEDAGOGICA,ASISTENTE EN SERV. DE EDUCACION Y CULTURA</v>
      </c>
    </row>
    <row r="33" spans="3:9" x14ac:dyDescent="0.2">
      <c r="C33" s="12">
        <v>41267402</v>
      </c>
      <c r="D33" s="3" t="s">
        <v>73</v>
      </c>
      <c r="E33" s="4" t="s">
        <v>6</v>
      </c>
      <c r="F33" s="4" t="s">
        <v>39</v>
      </c>
      <c r="G33" s="3" t="s">
        <v>74</v>
      </c>
      <c r="I33" s="5" t="str">
        <f t="shared" si="0"/>
        <v>41267402,ESTOFANERO CARI INES,D. L. 276,D. L. 276,ARÉA DE GESTION INSTITUCIONAL,ESPECIALISTA EN FINANZAS II</v>
      </c>
    </row>
    <row r="34" spans="3:9" x14ac:dyDescent="0.2">
      <c r="C34" s="13">
        <v>42528913</v>
      </c>
      <c r="D34" s="7" t="s">
        <v>75</v>
      </c>
      <c r="E34" s="4" t="s">
        <v>76</v>
      </c>
      <c r="F34" s="4" t="s">
        <v>11</v>
      </c>
      <c r="G34" s="3" t="s">
        <v>77</v>
      </c>
      <c r="I34" s="5" t="str">
        <f t="shared" si="0"/>
        <v>42528913,FLORES ALBERTI FERDINAN EDGAR ,DESTACADO,DESTACADO,DIRECCIÓN GENERAL,TRAMITE DOCUMENTARIO</v>
      </c>
    </row>
    <row r="35" spans="3:9" x14ac:dyDescent="0.2">
      <c r="C35" s="12">
        <v>44552230</v>
      </c>
      <c r="D35" s="3" t="s">
        <v>78</v>
      </c>
      <c r="E35" s="4" t="s">
        <v>6</v>
      </c>
      <c r="F35" s="4" t="s">
        <v>20</v>
      </c>
      <c r="G35" s="3" t="s">
        <v>46</v>
      </c>
      <c r="I35" s="5" t="str">
        <f t="shared" si="0"/>
        <v>44552230,FLORES QUISPE ERWIN EDDY,D. L. 276,D. L. 276,ADMINISTRACIÓN,ESPECIALISTA ADMINISTRATIVO II</v>
      </c>
    </row>
    <row r="36" spans="3:9" x14ac:dyDescent="0.2">
      <c r="C36" s="12" t="s">
        <v>212</v>
      </c>
      <c r="D36" s="3" t="s">
        <v>80</v>
      </c>
      <c r="E36" s="4" t="s">
        <v>6</v>
      </c>
      <c r="F36" s="4" t="s">
        <v>39</v>
      </c>
      <c r="G36" s="3" t="s">
        <v>81</v>
      </c>
      <c r="I36" s="5" t="str">
        <f t="shared" si="0"/>
        <v>01305086,FLORES TICONA JAVIER,D. L. 276,D. L. 276,ARÉA DE GESTION INSTITUCIONAL,ESPECIALISTA EN RACIONALIZACION II</v>
      </c>
    </row>
    <row r="37" spans="3:9" x14ac:dyDescent="0.2">
      <c r="C37" s="12" t="s">
        <v>213</v>
      </c>
      <c r="D37" s="3" t="s">
        <v>82</v>
      </c>
      <c r="E37" s="4" t="s">
        <v>6</v>
      </c>
      <c r="F37" s="4" t="s">
        <v>39</v>
      </c>
      <c r="G37" s="3" t="s">
        <v>83</v>
      </c>
      <c r="I37" s="5" t="str">
        <f t="shared" si="0"/>
        <v>01249193,GALINDO MENDOZA JUAN FRANCISCO,D. L. 276,D. L. 276,ARÉA DE GESTION INSTITUCIONAL,PLANIFICADOR II</v>
      </c>
    </row>
    <row r="38" spans="3:9" x14ac:dyDescent="0.2">
      <c r="C38" s="12" t="s">
        <v>214</v>
      </c>
      <c r="D38" s="3" t="s">
        <v>84</v>
      </c>
      <c r="E38" s="4" t="s">
        <v>85</v>
      </c>
      <c r="F38" s="4" t="s">
        <v>20</v>
      </c>
      <c r="G38" s="3" t="s">
        <v>86</v>
      </c>
      <c r="I38" s="5" t="str">
        <f t="shared" si="0"/>
        <v>02008080,GALVEZ DE FUENTES, ZOILA ROSA,DESTACADA,DESTACADA,ADMINISTRACIÓN,FEDATARIA</v>
      </c>
    </row>
    <row r="39" spans="3:9" x14ac:dyDescent="0.2">
      <c r="C39" s="12">
        <v>42319753</v>
      </c>
      <c r="D39" s="3" t="s">
        <v>87</v>
      </c>
      <c r="E39" s="4" t="s">
        <v>29</v>
      </c>
      <c r="F39" s="4" t="s">
        <v>20</v>
      </c>
      <c r="G39" s="3" t="s">
        <v>88</v>
      </c>
      <c r="I39" s="5" t="str">
        <f t="shared" si="0"/>
        <v>42319753,GOMEZ QUILCA LUZ MARINA,D. L. 1057 - CAS INDETERMINADO,D. L. 1057 - CAS INDETERMINADO,ADMINISTRACIÓN,CONSTANCIA DE PAGOS</v>
      </c>
    </row>
    <row r="40" spans="3:9" x14ac:dyDescent="0.2">
      <c r="C40" s="12" t="s">
        <v>215</v>
      </c>
      <c r="D40" s="3" t="s">
        <v>89</v>
      </c>
      <c r="E40" s="4" t="s">
        <v>6</v>
      </c>
      <c r="F40" s="4" t="s">
        <v>23</v>
      </c>
      <c r="G40" s="3" t="s">
        <v>90</v>
      </c>
      <c r="I40" s="5" t="str">
        <f t="shared" si="0"/>
        <v>01214226,GUEVARA MACHACA VALENTIN,D. L. 276,D. L. 276,RECURSOS HUMANOS,TECNICO EN INGENIERIA II</v>
      </c>
    </row>
    <row r="41" spans="3:9" x14ac:dyDescent="0.2">
      <c r="C41" s="12" t="s">
        <v>216</v>
      </c>
      <c r="D41" s="3" t="s">
        <v>91</v>
      </c>
      <c r="E41" s="4" t="s">
        <v>6</v>
      </c>
      <c r="F41" s="4" t="s">
        <v>20</v>
      </c>
      <c r="G41" s="3" t="s">
        <v>65</v>
      </c>
      <c r="I41" s="5" t="str">
        <f t="shared" si="0"/>
        <v>01206432,GUILLEN VALDEZ ESMERALDA ANA,D. L. 276,D. L. 276,ADMINISTRACIÓN,SECRETARIA II</v>
      </c>
    </row>
    <row r="42" spans="3:9" x14ac:dyDescent="0.2">
      <c r="C42" s="12">
        <v>45932728</v>
      </c>
      <c r="D42" s="3" t="s">
        <v>92</v>
      </c>
      <c r="E42" s="4" t="s">
        <v>10</v>
      </c>
      <c r="F42" s="4" t="s">
        <v>93</v>
      </c>
      <c r="G42" s="3" t="s">
        <v>94</v>
      </c>
      <c r="I42" s="5" t="str">
        <f t="shared" si="0"/>
        <v xml:space="preserve">45932728,HERENCIA CONDORI FANY LUCY,D. L. 1057 - CAS,D. L. 1057 - CAS,ORGANO DE CONTROL INTERNO,ASISTENTE ADMINISTRATIVO - OCI </v>
      </c>
    </row>
    <row r="43" spans="3:9" x14ac:dyDescent="0.2">
      <c r="C43" s="12">
        <v>72557448</v>
      </c>
      <c r="D43" s="3" t="s">
        <v>95</v>
      </c>
      <c r="E43" s="4" t="s">
        <v>10</v>
      </c>
      <c r="F43" s="4" t="s">
        <v>23</v>
      </c>
      <c r="G43" s="3" t="s">
        <v>96</v>
      </c>
      <c r="I43" s="5" t="str">
        <f t="shared" si="0"/>
        <v>72557448,HOLGUIN ENRIQUEZ PAOLA MARIBEL ,D. L. 1057 - CAS,D. L. 1057 - CAS,RECURSOS HUMANOS,SECRETARIA</v>
      </c>
    </row>
    <row r="44" spans="3:9" x14ac:dyDescent="0.2">
      <c r="C44" s="12">
        <v>43139017</v>
      </c>
      <c r="D44" s="3" t="s">
        <v>97</v>
      </c>
      <c r="E44" s="4" t="s">
        <v>14</v>
      </c>
      <c r="F44" s="4" t="s">
        <v>15</v>
      </c>
      <c r="G44" s="3" t="s">
        <v>16</v>
      </c>
      <c r="I44" s="5" t="str">
        <f t="shared" si="0"/>
        <v>43139017,HUANCA MAMANI JESUS NAPOLEON,LEY N° 29944 – LEY DE REFORMA MAGISTERIAL,LEY N° 29944 – LEY DE REFORMA MAGISTERIAL,DIRECCIÓN DE GESTIÓN PEDAGOGICA,ESPECIALISTA EN EDUCACION</v>
      </c>
    </row>
    <row r="45" spans="3:9" x14ac:dyDescent="0.2">
      <c r="C45" s="12">
        <v>40644009</v>
      </c>
      <c r="D45" s="3" t="s">
        <v>98</v>
      </c>
      <c r="E45" s="4" t="s">
        <v>6</v>
      </c>
      <c r="F45" s="4" t="s">
        <v>20</v>
      </c>
      <c r="G45" s="3" t="s">
        <v>65</v>
      </c>
      <c r="I45" s="5" t="str">
        <f t="shared" si="0"/>
        <v>40644009,HUANCA MARIN GUADALUPE IRIS,D. L. 276,D. L. 276,ADMINISTRACIÓN,SECRETARIA II</v>
      </c>
    </row>
    <row r="46" spans="3:9" x14ac:dyDescent="0.2">
      <c r="C46" s="13">
        <v>40437745</v>
      </c>
      <c r="D46" s="7" t="s">
        <v>99</v>
      </c>
      <c r="E46" s="4" t="s">
        <v>6</v>
      </c>
      <c r="F46" s="9" t="s">
        <v>20</v>
      </c>
      <c r="G46" s="3" t="s">
        <v>46</v>
      </c>
      <c r="I46" s="5" t="str">
        <f t="shared" si="0"/>
        <v>40437745,HUMPIRE COLQUEHUANCA ELIAS HUGO,D. L. 276,D. L. 276,ADMINISTRACIÓN,ESPECIALISTA ADMINISTRATIVO II</v>
      </c>
    </row>
    <row r="47" spans="3:9" x14ac:dyDescent="0.2">
      <c r="C47" s="12" t="s">
        <v>217</v>
      </c>
      <c r="D47" s="3" t="s">
        <v>100</v>
      </c>
      <c r="E47" s="4" t="s">
        <v>6</v>
      </c>
      <c r="F47" s="4" t="s">
        <v>11</v>
      </c>
      <c r="G47" s="3" t="s">
        <v>101</v>
      </c>
      <c r="I47" s="5" t="str">
        <f t="shared" si="0"/>
        <v>01213143,INFANTES PEREZ GLADYS,D. L. 276,D. L. 276,DIRECCIÓN GENERAL,SECRETARIA III</v>
      </c>
    </row>
    <row r="48" spans="3:9" x14ac:dyDescent="0.2">
      <c r="C48" s="12">
        <v>47025715</v>
      </c>
      <c r="D48" s="3" t="s">
        <v>102</v>
      </c>
      <c r="E48" s="4" t="s">
        <v>10</v>
      </c>
      <c r="F48" s="4" t="s">
        <v>20</v>
      </c>
      <c r="G48" s="3" t="s">
        <v>103</v>
      </c>
      <c r="I48" s="5" t="str">
        <f t="shared" si="0"/>
        <v xml:space="preserve">47025715,JARA CUNO DANITZA DEL ROCIO,D. L. 1057 - CAS,D. L. 1057 - CAS,ADMINISTRACIÓN,ASISTENTE ADMINISTRATIVO - ALMACEN </v>
      </c>
    </row>
    <row r="49" spans="3:9" x14ac:dyDescent="0.2">
      <c r="C49" s="12" t="s">
        <v>218</v>
      </c>
      <c r="D49" s="3" t="s">
        <v>104</v>
      </c>
      <c r="E49" s="4" t="s">
        <v>14</v>
      </c>
      <c r="F49" s="4" t="s">
        <v>15</v>
      </c>
      <c r="G49" s="3" t="s">
        <v>16</v>
      </c>
      <c r="I49" s="5" t="str">
        <f t="shared" si="0"/>
        <v>02444536,LAURA FLORES GREGORIA,LEY N° 29944 – LEY DE REFORMA MAGISTERIAL,LEY N° 29944 – LEY DE REFORMA MAGISTERIAL,DIRECCIÓN DE GESTIÓN PEDAGOGICA,ESPECIALISTA EN EDUCACION</v>
      </c>
    </row>
    <row r="50" spans="3:9" x14ac:dyDescent="0.2">
      <c r="C50" s="12">
        <v>41425186</v>
      </c>
      <c r="D50" s="3" t="s">
        <v>105</v>
      </c>
      <c r="E50" s="4" t="s">
        <v>6</v>
      </c>
      <c r="F50" s="4" t="s">
        <v>20</v>
      </c>
      <c r="G50" s="3" t="s">
        <v>106</v>
      </c>
      <c r="I50" s="5" t="str">
        <f t="shared" si="0"/>
        <v>41425186,LEQQUE QUISPE VILMA,D. L. 276,D. L. 276,ADMINISTRACIÓN,CAJERO II</v>
      </c>
    </row>
    <row r="51" spans="3:9" x14ac:dyDescent="0.2">
      <c r="C51" s="12" t="s">
        <v>219</v>
      </c>
      <c r="D51" s="3" t="s">
        <v>107</v>
      </c>
      <c r="E51" s="4" t="s">
        <v>29</v>
      </c>
      <c r="F51" s="4" t="s">
        <v>7</v>
      </c>
      <c r="G51" s="3" t="s">
        <v>108</v>
      </c>
      <c r="I51" s="5" t="str">
        <f t="shared" si="0"/>
        <v>01320209,LEZANO AQUICE, NARDY ROXANA,D. L. 1057 - CAS INDETERMINADO,D. L. 1057 - CAS INDETERMINADO,ASESORIA JURIDICA,ABOGADA</v>
      </c>
    </row>
    <row r="52" spans="3:9" x14ac:dyDescent="0.2">
      <c r="C52" s="12" t="s">
        <v>220</v>
      </c>
      <c r="D52" s="3" t="s">
        <v>109</v>
      </c>
      <c r="E52" s="4" t="s">
        <v>76</v>
      </c>
      <c r="F52" s="4" t="s">
        <v>11</v>
      </c>
      <c r="G52" s="3" t="s">
        <v>110</v>
      </c>
      <c r="I52" s="5" t="str">
        <f t="shared" si="0"/>
        <v>01216856,LLANO FLORES, LUIS,DESTACADO,DESTACADO,DIRECCIÓN GENERAL,DESTACADO - ACTAS Y CERTIFICADOS</v>
      </c>
    </row>
    <row r="53" spans="3:9" x14ac:dyDescent="0.2">
      <c r="C53" s="13">
        <v>70784966</v>
      </c>
      <c r="D53" s="7" t="s">
        <v>111</v>
      </c>
      <c r="E53" s="4" t="s">
        <v>29</v>
      </c>
      <c r="F53" s="4" t="s">
        <v>7</v>
      </c>
      <c r="G53" s="3" t="s">
        <v>108</v>
      </c>
      <c r="I53" s="5" t="str">
        <f t="shared" si="0"/>
        <v>70784966,LOAIZA MANZANO PATRICIA NORMA,D. L. 1057 - CAS INDETERMINADO,D. L. 1057 - CAS INDETERMINADO,ASESORIA JURIDICA,ABOGADA</v>
      </c>
    </row>
    <row r="54" spans="3:9" x14ac:dyDescent="0.2">
      <c r="C54" s="12" t="s">
        <v>221</v>
      </c>
      <c r="D54" s="3" t="s">
        <v>112</v>
      </c>
      <c r="E54" s="4" t="s">
        <v>76</v>
      </c>
      <c r="F54" s="4" t="s">
        <v>20</v>
      </c>
      <c r="G54" s="3" t="s">
        <v>113</v>
      </c>
      <c r="I54" s="5" t="str">
        <f t="shared" si="0"/>
        <v>01221864,LOPEZ USEDO, MARTHA GLADYS,DESTACADO,DESTACADO,ADMINISTRACIÓN,DESTACADA - INFORMATICA</v>
      </c>
    </row>
    <row r="55" spans="3:9" x14ac:dyDescent="0.2">
      <c r="C55" s="12" t="s">
        <v>222</v>
      </c>
      <c r="D55" s="3" t="s">
        <v>114</v>
      </c>
      <c r="E55" s="4" t="s">
        <v>6</v>
      </c>
      <c r="F55" s="4" t="s">
        <v>20</v>
      </c>
      <c r="G55" s="3" t="s">
        <v>115</v>
      </c>
      <c r="I55" s="5" t="str">
        <f t="shared" si="0"/>
        <v>01234883,LUJANO CHAMBILLA FLAVIO METODIO,D. L. 276,D. L. 276,ADMINISTRACIÓN,OPERADOR PAD II</v>
      </c>
    </row>
    <row r="56" spans="3:9" x14ac:dyDescent="0.2">
      <c r="C56" s="13" t="s">
        <v>223</v>
      </c>
      <c r="D56" s="7" t="s">
        <v>116</v>
      </c>
      <c r="E56" s="4" t="s">
        <v>34</v>
      </c>
      <c r="F56" s="4" t="s">
        <v>15</v>
      </c>
      <c r="G56" s="7" t="s">
        <v>117</v>
      </c>
      <c r="I56" s="5" t="str">
        <f t="shared" si="0"/>
        <v>01334984,MALDONADO RODRIGUEZ JUAN IBER,CAS 1057 - PROGRAMA,CAS 1057 - PROGRAMA,DIRECCIÓN DE GESTIÓN PEDAGOGICA,ESPECIALISTA DE INSTITUTOS PEDAGOGICOS</v>
      </c>
    </row>
    <row r="57" spans="3:9" x14ac:dyDescent="0.2">
      <c r="C57" s="12">
        <v>42295850</v>
      </c>
      <c r="D57" s="3" t="s">
        <v>118</v>
      </c>
      <c r="E57" s="4" t="s">
        <v>29</v>
      </c>
      <c r="F57" s="4" t="s">
        <v>11</v>
      </c>
      <c r="G57" s="3" t="s">
        <v>119</v>
      </c>
      <c r="I57" s="5" t="str">
        <f t="shared" si="0"/>
        <v>42295850,MAMANI MAMANI YNES BEATRIZ,D. L. 1057 - CAS INDETERMINADO,D. L. 1057 - CAS INDETERMINADO,DIRECCIÓN GENERAL,ASISTENTE ADMINISTRATIVO - TRÁMITE DOCUMENTARIO</v>
      </c>
    </row>
    <row r="58" spans="3:9" x14ac:dyDescent="0.2">
      <c r="C58" s="12" t="s">
        <v>224</v>
      </c>
      <c r="D58" s="3" t="s">
        <v>120</v>
      </c>
      <c r="E58" s="4" t="s">
        <v>6</v>
      </c>
      <c r="F58" s="4" t="s">
        <v>7</v>
      </c>
      <c r="G58" s="3" t="s">
        <v>65</v>
      </c>
      <c r="I58" s="5" t="str">
        <f t="shared" si="0"/>
        <v>02409729,MAMANI MONZON FRANCISCA,D. L. 276,D. L. 276,ASESORIA JURIDICA,SECRETARIA II</v>
      </c>
    </row>
    <row r="59" spans="3:9" x14ac:dyDescent="0.2">
      <c r="C59" s="12">
        <v>47382079</v>
      </c>
      <c r="D59" s="3" t="s">
        <v>121</v>
      </c>
      <c r="E59" s="4" t="s">
        <v>10</v>
      </c>
      <c r="F59" s="4" t="s">
        <v>20</v>
      </c>
      <c r="G59" s="3" t="s">
        <v>122</v>
      </c>
      <c r="I59" s="5" t="str">
        <f t="shared" si="0"/>
        <v xml:space="preserve">47382079,MAMANI PATATINGO MIRYAM YERICA,D. L. 1057 - CAS,D. L. 1057 - CAS,ADMINISTRACIÓN,ANALISTA EN REMUNERACIONES - PENSIONES </v>
      </c>
    </row>
    <row r="60" spans="3:9" x14ac:dyDescent="0.2">
      <c r="C60" s="13">
        <v>46001466</v>
      </c>
      <c r="D60" s="6" t="s">
        <v>123</v>
      </c>
      <c r="E60" s="10" t="s">
        <v>10</v>
      </c>
      <c r="F60" s="4" t="s">
        <v>11</v>
      </c>
      <c r="G60" s="6" t="s">
        <v>124</v>
      </c>
      <c r="I60" s="5" t="str">
        <f t="shared" si="0"/>
        <v>46001466,MIRANDA CRUZ LUZ MARIBEL,D. L. 1057 - CAS,D. L. 1057 - CAS,DIRECCIÓN GENERAL,NOTIFICADOR  -  TRÁMITE DOCUMENTARIO</v>
      </c>
    </row>
    <row r="61" spans="3:9" x14ac:dyDescent="0.2">
      <c r="C61" s="12">
        <v>72396245</v>
      </c>
      <c r="D61" s="3" t="s">
        <v>125</v>
      </c>
      <c r="E61" s="4" t="s">
        <v>29</v>
      </c>
      <c r="F61" s="4" t="s">
        <v>7</v>
      </c>
      <c r="G61" s="3" t="s">
        <v>126</v>
      </c>
      <c r="I61" s="5" t="str">
        <f t="shared" si="0"/>
        <v>72396245,MIRANDA MENDOZA ROCIO ,D. L. 1057 - CAS INDETERMINADO,D. L. 1057 - CAS INDETERMINADO,ASESORIA JURIDICA,ABOGADA SENTENCIAS JUDICIALES</v>
      </c>
    </row>
    <row r="62" spans="3:9" x14ac:dyDescent="0.2">
      <c r="C62" s="12" t="s">
        <v>225</v>
      </c>
      <c r="D62" s="3" t="s">
        <v>127</v>
      </c>
      <c r="E62" s="4" t="s">
        <v>6</v>
      </c>
      <c r="F62" s="4" t="s">
        <v>20</v>
      </c>
      <c r="G62" s="3" t="s">
        <v>53</v>
      </c>
      <c r="I62" s="5" t="str">
        <f t="shared" si="0"/>
        <v>01308159,MIRANDA SALAS JUDITH EDY,D. L. 276,D. L. 276,ADMINISTRACIÓN,OFICINISTA II</v>
      </c>
    </row>
    <row r="63" spans="3:9" x14ac:dyDescent="0.2">
      <c r="C63" s="12" t="s">
        <v>226</v>
      </c>
      <c r="D63" s="3" t="s">
        <v>128</v>
      </c>
      <c r="E63" s="4" t="s">
        <v>69</v>
      </c>
      <c r="F63" s="4" t="s">
        <v>7</v>
      </c>
      <c r="G63" s="3" t="s">
        <v>70</v>
      </c>
      <c r="I63" s="5" t="str">
        <f t="shared" si="0"/>
        <v>02435858,MONZON COAQUIRA PEDRO SERAFIN,CARGO DE CONFIANZA,CARGO DE CONFIANZA,ASESORIA JURIDICA,DIRECTOR DE SISTEMA ADMINISTRATIVO III</v>
      </c>
    </row>
    <row r="64" spans="3:9" x14ac:dyDescent="0.2">
      <c r="C64" s="12" t="s">
        <v>227</v>
      </c>
      <c r="D64" s="3" t="s">
        <v>129</v>
      </c>
      <c r="E64" s="4" t="s">
        <v>14</v>
      </c>
      <c r="F64" s="4" t="s">
        <v>15</v>
      </c>
      <c r="G64" s="3" t="s">
        <v>16</v>
      </c>
      <c r="I64" s="5" t="str">
        <f t="shared" si="0"/>
        <v>01288311,NEIRA D. L. 1057 - CASTRO MARIA ROSALIA,LEY N° 29944 – LEY DE REFORMA MAGISTERIAL,LEY N° 29944 – LEY DE REFORMA MAGISTERIAL,DIRECCIÓN DE GESTIÓN PEDAGOGICA,ESPECIALISTA EN EDUCACION</v>
      </c>
    </row>
    <row r="65" spans="3:9" x14ac:dyDescent="0.2">
      <c r="C65" s="12">
        <v>70854018</v>
      </c>
      <c r="D65" s="3" t="s">
        <v>130</v>
      </c>
      <c r="E65" s="4" t="s">
        <v>10</v>
      </c>
      <c r="F65" s="4" t="s">
        <v>20</v>
      </c>
      <c r="G65" s="3" t="s">
        <v>131</v>
      </c>
      <c r="I65" s="5" t="str">
        <f t="shared" si="0"/>
        <v>70854018,ÑAUPA CHOQUEHUANCA MIDWAR WILLIANS,D. L. 1057 - CAS,D. L. 1057 - CAS,ADMINISTRACIÓN,ANALISTA - SOPORTE TÉCNICO EN SISTEMAS</v>
      </c>
    </row>
    <row r="66" spans="3:9" x14ac:dyDescent="0.2">
      <c r="C66" s="14" t="s">
        <v>228</v>
      </c>
      <c r="D66" s="3" t="s">
        <v>132</v>
      </c>
      <c r="E66" s="4" t="s">
        <v>6</v>
      </c>
      <c r="F66" s="4" t="s">
        <v>20</v>
      </c>
      <c r="G66" s="3" t="s">
        <v>32</v>
      </c>
      <c r="I66" s="5" t="str">
        <f t="shared" si="0"/>
        <v>44645758,ORTEGA LIMACHI MOISES,D. L. 276,D. L. 276,ADMINISTRACIÓN,TECNICO ADMINISTRATIVO II</v>
      </c>
    </row>
    <row r="67" spans="3:9" x14ac:dyDescent="0.2">
      <c r="C67" s="12">
        <v>40026312</v>
      </c>
      <c r="D67" s="3" t="s">
        <v>133</v>
      </c>
      <c r="E67" s="4" t="s">
        <v>14</v>
      </c>
      <c r="F67" s="4" t="s">
        <v>15</v>
      </c>
      <c r="G67" s="3" t="s">
        <v>16</v>
      </c>
      <c r="I67" s="5" t="str">
        <f t="shared" ref="I67:I110" si="1">CONCATENATE(C67,",",D67,",",E67,",",E67,",",F67,",",G67)</f>
        <v>40026312,PACHO ALVAREZ RENE OSWALDO,LEY N° 29944 – LEY DE REFORMA MAGISTERIAL,LEY N° 29944 – LEY DE REFORMA MAGISTERIAL,DIRECCIÓN DE GESTIÓN PEDAGOGICA,ESPECIALISTA EN EDUCACION</v>
      </c>
    </row>
    <row r="68" spans="3:9" x14ac:dyDescent="0.2">
      <c r="C68" s="12" t="s">
        <v>229</v>
      </c>
      <c r="D68" s="3" t="s">
        <v>134</v>
      </c>
      <c r="E68" s="4" t="s">
        <v>14</v>
      </c>
      <c r="F68" s="4" t="s">
        <v>15</v>
      </c>
      <c r="G68" s="3" t="s">
        <v>16</v>
      </c>
      <c r="I68" s="5" t="str">
        <f t="shared" si="1"/>
        <v>01297609,PANIURA QUISPE, MARIA ROSA,LEY N° 29944 – LEY DE REFORMA MAGISTERIAL,LEY N° 29944 – LEY DE REFORMA MAGISTERIAL,DIRECCIÓN DE GESTIÓN PEDAGOGICA,ESPECIALISTA EN EDUCACION</v>
      </c>
    </row>
    <row r="69" spans="3:9" x14ac:dyDescent="0.2">
      <c r="C69" s="12" t="s">
        <v>230</v>
      </c>
      <c r="D69" s="3" t="s">
        <v>135</v>
      </c>
      <c r="E69" s="4" t="s">
        <v>14</v>
      </c>
      <c r="F69" s="4" t="s">
        <v>15</v>
      </c>
      <c r="G69" s="3" t="s">
        <v>136</v>
      </c>
      <c r="I69" s="5" t="str">
        <f t="shared" si="1"/>
        <v>01489874,PAREDES ASTRULLA FREDY EVARISTO,LEY N° 29944 – LEY DE REFORMA MAGISTERIAL,LEY N° 29944 – LEY DE REFORMA MAGISTERIAL,DIRECCIÓN DE GESTIÓN PEDAGOGICA,DIRECTOR DE GESTIÓN PEDAGÓGICA</v>
      </c>
    </row>
    <row r="70" spans="3:9" x14ac:dyDescent="0.2">
      <c r="C70" s="12">
        <v>24222889</v>
      </c>
      <c r="D70" s="3" t="s">
        <v>137</v>
      </c>
      <c r="E70" s="4" t="s">
        <v>14</v>
      </c>
      <c r="F70" s="4" t="s">
        <v>15</v>
      </c>
      <c r="G70" s="3" t="s">
        <v>16</v>
      </c>
      <c r="I70" s="5" t="str">
        <f t="shared" si="1"/>
        <v>24222889,PARICAHUA CONDORI DAVID HERMENEGILDO,LEY N° 29944 – LEY DE REFORMA MAGISTERIAL,LEY N° 29944 – LEY DE REFORMA MAGISTERIAL,DIRECCIÓN DE GESTIÓN PEDAGOGICA,ESPECIALISTA EN EDUCACION</v>
      </c>
    </row>
    <row r="71" spans="3:9" x14ac:dyDescent="0.2">
      <c r="C71" s="12">
        <v>71928147</v>
      </c>
      <c r="D71" s="3" t="s">
        <v>138</v>
      </c>
      <c r="E71" s="4" t="s">
        <v>10</v>
      </c>
      <c r="F71" s="4" t="s">
        <v>20</v>
      </c>
      <c r="G71" s="3" t="s">
        <v>30</v>
      </c>
      <c r="I71" s="5" t="str">
        <f t="shared" si="1"/>
        <v>71928147,PEREZ TOMA LUIS ALBERTO,D. L. 1057 - CAS,D. L. 1057 - CAS,ADMINISTRACIÓN,PERSONAL DE VIGILANCIA</v>
      </c>
    </row>
    <row r="72" spans="3:9" x14ac:dyDescent="0.2">
      <c r="C72" s="12" t="s">
        <v>231</v>
      </c>
      <c r="D72" s="3" t="s">
        <v>139</v>
      </c>
      <c r="E72" s="4" t="s">
        <v>6</v>
      </c>
      <c r="F72" s="4" t="s">
        <v>20</v>
      </c>
      <c r="G72" s="3" t="s">
        <v>140</v>
      </c>
      <c r="I72" s="5" t="str">
        <f t="shared" si="1"/>
        <v>01214246,PINEDA QUISPE VALERIANO,D. L. 276,D. L. 276,ADMINISTRACIÓN,CHOFER II</v>
      </c>
    </row>
    <row r="73" spans="3:9" x14ac:dyDescent="0.2">
      <c r="C73" s="12">
        <v>46785510</v>
      </c>
      <c r="D73" s="3" t="s">
        <v>141</v>
      </c>
      <c r="E73" s="4" t="s">
        <v>34</v>
      </c>
      <c r="F73" s="4" t="s">
        <v>15</v>
      </c>
      <c r="G73" s="3" t="s">
        <v>142</v>
      </c>
      <c r="I73" s="5" t="str">
        <f t="shared" si="1"/>
        <v>46785510,PINEDA VILLANUEVA EDWIN,CAS 1057 - PROGRAMA,CAS 1057 - PROGRAMA,DIRECCIÓN DE GESTIÓN PEDAGOGICA,ESPECIALISTA DE INSTITUTOS Y ESFAS</v>
      </c>
    </row>
    <row r="74" spans="3:9" x14ac:dyDescent="0.2">
      <c r="C74" s="12">
        <v>73029716</v>
      </c>
      <c r="D74" s="3" t="s">
        <v>143</v>
      </c>
      <c r="E74" s="4" t="s">
        <v>10</v>
      </c>
      <c r="F74" s="4" t="s">
        <v>39</v>
      </c>
      <c r="G74" s="3" t="s">
        <v>144</v>
      </c>
      <c r="I74" s="5" t="str">
        <f t="shared" si="1"/>
        <v xml:space="preserve">73029716,QUENTA CALISAYA LUIS FERNANDO,D. L. 1057 - CAS,D. L. 1057 - CAS,ARÉA DE GESTION INSTITUCIONAL,ANALISTA - CEPLAN </v>
      </c>
    </row>
    <row r="75" spans="3:9" x14ac:dyDescent="0.2">
      <c r="C75" s="12" t="s">
        <v>232</v>
      </c>
      <c r="D75" s="3" t="s">
        <v>145</v>
      </c>
      <c r="E75" s="4" t="s">
        <v>14</v>
      </c>
      <c r="F75" s="4" t="s">
        <v>15</v>
      </c>
      <c r="G75" s="3" t="s">
        <v>16</v>
      </c>
      <c r="I75" s="5" t="str">
        <f t="shared" si="1"/>
        <v>01326503,QUISPE CALIZAYA LUZ ELIANA,LEY N° 29944 – LEY DE REFORMA MAGISTERIAL,LEY N° 29944 – LEY DE REFORMA MAGISTERIAL,DIRECCIÓN DE GESTIÓN PEDAGOGICA,ESPECIALISTA EN EDUCACION</v>
      </c>
    </row>
    <row r="76" spans="3:9" x14ac:dyDescent="0.2">
      <c r="C76" s="12">
        <v>71848720</v>
      </c>
      <c r="D76" s="3" t="s">
        <v>146</v>
      </c>
      <c r="E76" s="4" t="s">
        <v>10</v>
      </c>
      <c r="F76" s="4" t="s">
        <v>20</v>
      </c>
      <c r="G76" s="3" t="s">
        <v>44</v>
      </c>
      <c r="I76" s="5" t="str">
        <f t="shared" si="1"/>
        <v xml:space="preserve">71848720,QUISPE CORONADO FIORELA BEATRIZ,D. L. 1057 - CAS,D. L. 1057 - CAS,ADMINISTRACIÓN,ANALISTA ADMINISTRATIVO - ABASTECIMIENTO </v>
      </c>
    </row>
    <row r="77" spans="3:9" x14ac:dyDescent="0.2">
      <c r="C77" s="12">
        <v>42440394</v>
      </c>
      <c r="D77" s="3" t="s">
        <v>147</v>
      </c>
      <c r="E77" s="4" t="s">
        <v>29</v>
      </c>
      <c r="F77" s="4" t="s">
        <v>11</v>
      </c>
      <c r="G77" s="3" t="s">
        <v>148</v>
      </c>
      <c r="I77" s="5" t="str">
        <f t="shared" si="1"/>
        <v>42440394,QUISPE DE LA CRUZ NESTOR,D. L. 1057 - CAS INDETERMINADO,D. L. 1057 - CAS INDETERMINADO,DIRECCIÓN GENERAL,PERIODISTA II</v>
      </c>
    </row>
    <row r="78" spans="3:9" x14ac:dyDescent="0.2">
      <c r="C78" s="12">
        <v>47665963</v>
      </c>
      <c r="D78" s="3" t="s">
        <v>149</v>
      </c>
      <c r="E78" s="4" t="s">
        <v>10</v>
      </c>
      <c r="F78" s="4" t="s">
        <v>11</v>
      </c>
      <c r="G78" s="3" t="s">
        <v>119</v>
      </c>
      <c r="I78" s="5" t="str">
        <f t="shared" si="1"/>
        <v>47665963,QUISPE JARA MIRIAN,D. L. 1057 - CAS,D. L. 1057 - CAS,DIRECCIÓN GENERAL,ASISTENTE ADMINISTRATIVO - TRÁMITE DOCUMENTARIO</v>
      </c>
    </row>
    <row r="79" spans="3:9" x14ac:dyDescent="0.2">
      <c r="C79" s="12">
        <v>41055163</v>
      </c>
      <c r="D79" s="3" t="s">
        <v>150</v>
      </c>
      <c r="E79" s="4" t="s">
        <v>6</v>
      </c>
      <c r="F79" s="4" t="s">
        <v>20</v>
      </c>
      <c r="G79" s="3" t="s">
        <v>59</v>
      </c>
      <c r="I79" s="5" t="str">
        <f t="shared" si="1"/>
        <v>41055163,QUISPE LUJANO MARIANELA,D. L. 276,D. L. 276,ADMINISTRACIÓN,TRABAJADOR DE SERVICIO II</v>
      </c>
    </row>
    <row r="80" spans="3:9" x14ac:dyDescent="0.2">
      <c r="C80" s="12">
        <v>44307134</v>
      </c>
      <c r="D80" s="3" t="s">
        <v>151</v>
      </c>
      <c r="E80" s="4" t="s">
        <v>10</v>
      </c>
      <c r="F80" s="4" t="s">
        <v>20</v>
      </c>
      <c r="G80" s="3" t="s">
        <v>30</v>
      </c>
      <c r="I80" s="5" t="str">
        <f t="shared" si="1"/>
        <v>44307134,QUISPE VILCA GABRIEL,D. L. 1057 - CAS,D. L. 1057 - CAS,ADMINISTRACIÓN,PERSONAL DE VIGILANCIA</v>
      </c>
    </row>
    <row r="81" spans="3:9" x14ac:dyDescent="0.2">
      <c r="C81" s="12" t="s">
        <v>233</v>
      </c>
      <c r="D81" s="3" t="s">
        <v>152</v>
      </c>
      <c r="E81" s="4" t="s">
        <v>14</v>
      </c>
      <c r="F81" s="4" t="s">
        <v>15</v>
      </c>
      <c r="G81" s="3" t="s">
        <v>16</v>
      </c>
      <c r="I81" s="5" t="str">
        <f t="shared" si="1"/>
        <v>01296917,RAMOS ALIAGA, NOEMI YESENIA,LEY N° 29944 – LEY DE REFORMA MAGISTERIAL,LEY N° 29944 – LEY DE REFORMA MAGISTERIAL,DIRECCIÓN DE GESTIÓN PEDAGOGICA,ESPECIALISTA EN EDUCACION</v>
      </c>
    </row>
    <row r="82" spans="3:9" x14ac:dyDescent="0.2">
      <c r="C82" s="12">
        <v>40154257</v>
      </c>
      <c r="D82" s="3" t="s">
        <v>153</v>
      </c>
      <c r="E82" s="4" t="s">
        <v>29</v>
      </c>
      <c r="F82" s="4" t="s">
        <v>20</v>
      </c>
      <c r="G82" s="3" t="s">
        <v>30</v>
      </c>
      <c r="I82" s="5" t="str">
        <f t="shared" si="1"/>
        <v>40154257,RAMOS COAQUIRA MARCO ANTONIO,D. L. 1057 - CAS INDETERMINADO,D. L. 1057 - CAS INDETERMINADO,ADMINISTRACIÓN,PERSONAL DE VIGILANCIA</v>
      </c>
    </row>
    <row r="83" spans="3:9" x14ac:dyDescent="0.2">
      <c r="C83" s="12" t="s">
        <v>234</v>
      </c>
      <c r="D83" s="3" t="s">
        <v>154</v>
      </c>
      <c r="E83" s="4" t="s">
        <v>6</v>
      </c>
      <c r="F83" s="4" t="s">
        <v>15</v>
      </c>
      <c r="G83" s="3" t="s">
        <v>65</v>
      </c>
      <c r="I83" s="5" t="str">
        <f t="shared" si="1"/>
        <v>01201059,RAMOS ORTEGA SINFORIANO JAIME,D. L. 276,D. L. 276,DIRECCIÓN DE GESTIÓN PEDAGOGICA,SECRETARIA II</v>
      </c>
    </row>
    <row r="84" spans="3:9" x14ac:dyDescent="0.2">
      <c r="C84" s="12">
        <v>42924069</v>
      </c>
      <c r="D84" s="3" t="s">
        <v>155</v>
      </c>
      <c r="E84" s="4" t="s">
        <v>10</v>
      </c>
      <c r="F84" s="4" t="s">
        <v>23</v>
      </c>
      <c r="G84" s="3" t="s">
        <v>156</v>
      </c>
      <c r="I84" s="5" t="str">
        <f t="shared" si="1"/>
        <v>42924069,RIOS SALAZAR ALAN SANDRO,D. L. 1057 - CAS,D. L. 1057 - CAS,RECURSOS HUMANOS,ANALISTA NEXUS</v>
      </c>
    </row>
    <row r="85" spans="3:9" x14ac:dyDescent="0.2">
      <c r="C85" s="12" t="s">
        <v>248</v>
      </c>
      <c r="D85" s="3" t="s">
        <v>157</v>
      </c>
      <c r="E85" s="4" t="s">
        <v>69</v>
      </c>
      <c r="F85" s="4" t="s">
        <v>11</v>
      </c>
      <c r="G85" s="3" t="s">
        <v>158</v>
      </c>
      <c r="I85" s="5" t="str">
        <f t="shared" si="1"/>
        <v>01287700,RODRIGUEZ QUISPE FELIX,CARGO DE CONFIANZA,CARGO DE CONFIANZA,DIRECCIÓN GENERAL,DIRECTOR DE PROGRAMA SECTORIAL IV</v>
      </c>
    </row>
    <row r="86" spans="3:9" x14ac:dyDescent="0.2">
      <c r="C86" s="12" t="s">
        <v>235</v>
      </c>
      <c r="D86" s="3" t="s">
        <v>159</v>
      </c>
      <c r="E86" s="4" t="s">
        <v>6</v>
      </c>
      <c r="F86" s="4" t="s">
        <v>23</v>
      </c>
      <c r="G86" s="3" t="s">
        <v>32</v>
      </c>
      <c r="I86" s="5" t="str">
        <f t="shared" si="1"/>
        <v>01204384,ROMERO ORTIZ ELBA MARIA,D. L. 276,D. L. 276,RECURSOS HUMANOS,TECNICO ADMINISTRATIVO II</v>
      </c>
    </row>
    <row r="87" spans="3:9" x14ac:dyDescent="0.2">
      <c r="C87" s="12">
        <v>42677058</v>
      </c>
      <c r="D87" s="3" t="s">
        <v>160</v>
      </c>
      <c r="E87" s="4" t="s">
        <v>6</v>
      </c>
      <c r="F87" s="4" t="s">
        <v>20</v>
      </c>
      <c r="G87" s="3" t="s">
        <v>140</v>
      </c>
      <c r="I87" s="5" t="str">
        <f t="shared" si="1"/>
        <v>42677058,SALAS LLANOS OMAR JESUS,D. L. 276,D. L. 276,ADMINISTRACIÓN,CHOFER II</v>
      </c>
    </row>
    <row r="88" spans="3:9" x14ac:dyDescent="0.2">
      <c r="C88" s="12" t="s">
        <v>236</v>
      </c>
      <c r="D88" s="3" t="s">
        <v>161</v>
      </c>
      <c r="E88" s="4" t="s">
        <v>6</v>
      </c>
      <c r="F88" s="4" t="s">
        <v>20</v>
      </c>
      <c r="G88" s="3" t="s">
        <v>162</v>
      </c>
      <c r="I88" s="5" t="str">
        <f t="shared" si="1"/>
        <v>01226916,SALAS SEVILLA JOSE OLIVERIO,D. L. 276,D. L. 276,ADMINISTRACIÓN,TESORERO II</v>
      </c>
    </row>
    <row r="89" spans="3:9" x14ac:dyDescent="0.2">
      <c r="C89" s="12" t="s">
        <v>237</v>
      </c>
      <c r="D89" s="3" t="s">
        <v>163</v>
      </c>
      <c r="E89" s="4" t="s">
        <v>14</v>
      </c>
      <c r="F89" s="4" t="s">
        <v>15</v>
      </c>
      <c r="G89" s="3" t="s">
        <v>16</v>
      </c>
      <c r="I89" s="5" t="str">
        <f t="shared" si="1"/>
        <v>01307186,SANIZO MAMANI ADRIAN,LEY N° 29944 – LEY DE REFORMA MAGISTERIAL,LEY N° 29944 – LEY DE REFORMA MAGISTERIAL,DIRECCIÓN DE GESTIÓN PEDAGOGICA,ESPECIALISTA EN EDUCACION</v>
      </c>
    </row>
    <row r="90" spans="3:9" x14ac:dyDescent="0.2">
      <c r="C90" s="12" t="s">
        <v>238</v>
      </c>
      <c r="D90" s="3" t="s">
        <v>164</v>
      </c>
      <c r="E90" s="4" t="s">
        <v>6</v>
      </c>
      <c r="F90" s="4" t="s">
        <v>23</v>
      </c>
      <c r="G90" s="3" t="s">
        <v>46</v>
      </c>
      <c r="I90" s="5" t="str">
        <f t="shared" si="1"/>
        <v>01287196,SUCARI SUCARI HECTOR RAUL,D. L. 276,D. L. 276,RECURSOS HUMANOS,ESPECIALISTA ADMINISTRATIVO II</v>
      </c>
    </row>
    <row r="91" spans="3:9" x14ac:dyDescent="0.2">
      <c r="C91" s="12" t="s">
        <v>239</v>
      </c>
      <c r="D91" s="3" t="s">
        <v>165</v>
      </c>
      <c r="E91" s="4" t="s">
        <v>6</v>
      </c>
      <c r="F91" s="4" t="s">
        <v>20</v>
      </c>
      <c r="G91" s="3" t="s">
        <v>166</v>
      </c>
      <c r="I91" s="5" t="str">
        <f t="shared" si="1"/>
        <v>01282409,TEBES ALEJO ELOY ROLANDO,D. L. 276,D. L. 276,ADMINISTRACIÓN,ANALISTA DE SISTEMAS PAD II</v>
      </c>
    </row>
    <row r="92" spans="3:9" x14ac:dyDescent="0.2">
      <c r="C92" s="13">
        <v>70753506</v>
      </c>
      <c r="D92" s="7" t="s">
        <v>167</v>
      </c>
      <c r="E92" s="4" t="s">
        <v>10</v>
      </c>
      <c r="F92" s="4" t="s">
        <v>11</v>
      </c>
      <c r="G92" s="7" t="s">
        <v>168</v>
      </c>
      <c r="I92" s="5" t="str">
        <f t="shared" si="1"/>
        <v>70753506,TEJADA SANTOS INES VARIN,D. L. 1057 - CAS,D. L. 1057 - CAS,DIRECCIÓN GENERAL,ASISTENTE ADMINISTRATIVO</v>
      </c>
    </row>
    <row r="93" spans="3:9" x14ac:dyDescent="0.2">
      <c r="C93" s="12">
        <v>48040949</v>
      </c>
      <c r="D93" s="3" t="s">
        <v>169</v>
      </c>
      <c r="E93" s="4" t="s">
        <v>10</v>
      </c>
      <c r="F93" s="4" t="s">
        <v>11</v>
      </c>
      <c r="G93" s="3" t="s">
        <v>170</v>
      </c>
      <c r="I93" s="5" t="str">
        <f t="shared" si="1"/>
        <v>48040949,TICONA QUISPE JUAN MILER,D. L. 1057 - CAS,D. L. 1057 - CAS,DIRECCIÓN GENERAL,ANALISTA EN AUTOMATIZACIÓN - ARCHIVOS</v>
      </c>
    </row>
    <row r="94" spans="3:9" x14ac:dyDescent="0.2">
      <c r="C94" s="15">
        <v>70496497</v>
      </c>
      <c r="D94" s="3" t="s">
        <v>171</v>
      </c>
      <c r="E94" s="4" t="s">
        <v>10</v>
      </c>
      <c r="F94" s="4" t="s">
        <v>20</v>
      </c>
      <c r="G94" s="3" t="s">
        <v>172</v>
      </c>
      <c r="I94" s="5" t="str">
        <f t="shared" si="1"/>
        <v>70496497,TICONA REMOND BILL BRANDON,D. L. 1057 - CAS,D. L. 1057 - CAS,ADMINISTRACIÓN,TECNICO ADMINISTRATIVO II - IMPRESIONES</v>
      </c>
    </row>
    <row r="95" spans="3:9" x14ac:dyDescent="0.2">
      <c r="C95" s="12" t="s">
        <v>240</v>
      </c>
      <c r="D95" s="3" t="s">
        <v>173</v>
      </c>
      <c r="E95" s="4" t="s">
        <v>14</v>
      </c>
      <c r="F95" s="4" t="s">
        <v>15</v>
      </c>
      <c r="G95" s="3" t="s">
        <v>16</v>
      </c>
      <c r="I95" s="5" t="str">
        <f t="shared" si="1"/>
        <v>01304911,TICONA RAMOS ROMAN ANDRES,LEY N° 29944 – LEY DE REFORMA MAGISTERIAL,LEY N° 29944 – LEY DE REFORMA MAGISTERIAL,DIRECCIÓN DE GESTIÓN PEDAGOGICA,ESPECIALISTA EN EDUCACION</v>
      </c>
    </row>
    <row r="96" spans="3:9" x14ac:dyDescent="0.2">
      <c r="C96" s="12" t="s">
        <v>241</v>
      </c>
      <c r="D96" s="3" t="s">
        <v>174</v>
      </c>
      <c r="E96" s="4" t="s">
        <v>14</v>
      </c>
      <c r="F96" s="4" t="s">
        <v>15</v>
      </c>
      <c r="G96" s="3" t="s">
        <v>16</v>
      </c>
      <c r="I96" s="5" t="str">
        <f t="shared" si="1"/>
        <v>01321833,TURPO PANCCA ILDIFONZO WALTER,LEY N° 29944 – LEY DE REFORMA MAGISTERIAL,LEY N° 29944 – LEY DE REFORMA MAGISTERIAL,DIRECCIÓN DE GESTIÓN PEDAGOGICA,ESPECIALISTA EN EDUCACION</v>
      </c>
    </row>
    <row r="97" spans="3:9" x14ac:dyDescent="0.2">
      <c r="C97" s="12" t="s">
        <v>243</v>
      </c>
      <c r="D97" s="3" t="s">
        <v>175</v>
      </c>
      <c r="E97" s="4" t="s">
        <v>10</v>
      </c>
      <c r="F97" s="4" t="s">
        <v>39</v>
      </c>
      <c r="G97" s="3" t="s">
        <v>176</v>
      </c>
      <c r="I97" s="5" t="str">
        <f t="shared" si="1"/>
        <v xml:space="preserve">71057718,VALDIVIA FLORES FLOR EDITH,D. L. 1057 - CAS,D. L. 1057 - CAS,ARÉA DE GESTION INSTITUCIONAL,ANALISTA ADMINISTRATIVO - TOPOGRAFO </v>
      </c>
    </row>
    <row r="98" spans="3:9" x14ac:dyDescent="0.2">
      <c r="C98" s="12" t="s">
        <v>242</v>
      </c>
      <c r="D98" s="3" t="s">
        <v>177</v>
      </c>
      <c r="E98" s="4" t="s">
        <v>14</v>
      </c>
      <c r="F98" s="4" t="s">
        <v>15</v>
      </c>
      <c r="G98" s="3" t="s">
        <v>16</v>
      </c>
      <c r="I98" s="5" t="str">
        <f t="shared" si="1"/>
        <v>40471999,VALENCIA PACHO JUDITH BLANCA,LEY N° 29944 – LEY DE REFORMA MAGISTERIAL,LEY N° 29944 – LEY DE REFORMA MAGISTERIAL,DIRECCIÓN DE GESTIÓN PEDAGOGICA,ESPECIALISTA EN EDUCACION</v>
      </c>
    </row>
    <row r="99" spans="3:9" x14ac:dyDescent="0.2">
      <c r="C99" s="12" t="s">
        <v>244</v>
      </c>
      <c r="D99" s="3" t="s">
        <v>178</v>
      </c>
      <c r="E99" s="4" t="s">
        <v>6</v>
      </c>
      <c r="F99" s="4" t="s">
        <v>11</v>
      </c>
      <c r="G99" s="3" t="s">
        <v>53</v>
      </c>
      <c r="I99" s="5" t="str">
        <f t="shared" si="1"/>
        <v>02265267,VALERIANO FLORES VICTOR,D. L. 276,D. L. 276,DIRECCIÓN GENERAL,OFICINISTA II</v>
      </c>
    </row>
    <row r="100" spans="3:9" x14ac:dyDescent="0.2">
      <c r="C100" s="12" t="s">
        <v>245</v>
      </c>
      <c r="D100" s="3" t="s">
        <v>179</v>
      </c>
      <c r="E100" s="4" t="s">
        <v>10</v>
      </c>
      <c r="F100" s="4" t="s">
        <v>20</v>
      </c>
      <c r="G100" s="3" t="s">
        <v>180</v>
      </c>
      <c r="I100" s="5" t="str">
        <f t="shared" si="1"/>
        <v>01311332,VARGAS HUAQUI SANDRA MARLENE,D. L. 1057 - CAS,D. L. 1057 - CAS,ADMINISTRACIÓN,ASISTENTA SOCIAL</v>
      </c>
    </row>
    <row r="101" spans="3:9" x14ac:dyDescent="0.2">
      <c r="C101" s="12">
        <v>47873731</v>
      </c>
      <c r="D101" s="3" t="s">
        <v>181</v>
      </c>
      <c r="E101" s="4" t="s">
        <v>10</v>
      </c>
      <c r="F101" s="4" t="s">
        <v>23</v>
      </c>
      <c r="G101" s="3" t="s">
        <v>182</v>
      </c>
      <c r="I101" s="5" t="str">
        <f t="shared" si="1"/>
        <v>47873731,VASQUEZ GONZA  ELIZABETH,D. L. 1057 - CAS,D. L. 1057 - CAS,RECURSOS HUMANOS,ANALISTA - AIRHSP</v>
      </c>
    </row>
    <row r="102" spans="3:9" x14ac:dyDescent="0.2">
      <c r="C102" s="12">
        <v>72950438</v>
      </c>
      <c r="D102" s="3" t="s">
        <v>183</v>
      </c>
      <c r="E102" s="4" t="s">
        <v>10</v>
      </c>
      <c r="F102" s="4" t="s">
        <v>20</v>
      </c>
      <c r="G102" s="3" t="s">
        <v>184</v>
      </c>
      <c r="I102" s="5" t="str">
        <f t="shared" si="1"/>
        <v>72950438,VELASQUEZ RAMOS CRISTIAN YERARDO,D. L. 1057 - CAS,D. L. 1057 - CAS,ADMINISTRACIÓN,ANALISTA EN REMUNERACIONES - PENSIONES</v>
      </c>
    </row>
    <row r="103" spans="3:9" x14ac:dyDescent="0.2">
      <c r="C103" s="12">
        <v>41032111</v>
      </c>
      <c r="D103" s="3" t="s">
        <v>185</v>
      </c>
      <c r="E103" s="4" t="s">
        <v>10</v>
      </c>
      <c r="F103" s="4" t="s">
        <v>39</v>
      </c>
      <c r="G103" s="3" t="s">
        <v>186</v>
      </c>
      <c r="I103" s="5" t="str">
        <f t="shared" si="1"/>
        <v xml:space="preserve">41032111,VELIZ AGUILAR RICHAR ANDRES,D. L. 1057 - CAS,D. L. 1057 - CAS,ARÉA DE GESTION INSTITUCIONAL,ANALISTA LEGAL - SANEAMIENTO FISICO LEGAL </v>
      </c>
    </row>
    <row r="104" spans="3:9" x14ac:dyDescent="0.2">
      <c r="C104" s="12" t="s">
        <v>246</v>
      </c>
      <c r="D104" s="3" t="s">
        <v>187</v>
      </c>
      <c r="E104" s="4" t="s">
        <v>10</v>
      </c>
      <c r="F104" s="4" t="s">
        <v>23</v>
      </c>
      <c r="G104" s="3" t="s">
        <v>188</v>
      </c>
      <c r="I104" s="5" t="str">
        <f t="shared" si="1"/>
        <v xml:space="preserve">01333535,VILCA SOTO JOSE ,D. L. 1057 - CAS,D. L. 1057 - CAS,RECURSOS HUMANOS,ANALISTA LEGAL </v>
      </c>
    </row>
    <row r="105" spans="3:9" x14ac:dyDescent="0.2">
      <c r="C105" s="12">
        <v>73175572</v>
      </c>
      <c r="D105" s="3" t="s">
        <v>189</v>
      </c>
      <c r="E105" s="4" t="s">
        <v>10</v>
      </c>
      <c r="F105" s="4" t="s">
        <v>39</v>
      </c>
      <c r="G105" s="3" t="s">
        <v>190</v>
      </c>
      <c r="I105" s="5" t="str">
        <f t="shared" si="1"/>
        <v>73175572,VILLAVICENCIO PAREDES DARLYS GUADALUPE,D. L. 1057 - CAS,D. L. 1057 - CAS,ARÉA DE GESTION INSTITUCIONAL,ASISTENTE ADMINISTRATIVO - FINANZAS</v>
      </c>
    </row>
    <row r="106" spans="3:9" x14ac:dyDescent="0.2">
      <c r="C106" s="13">
        <v>46788042</v>
      </c>
      <c r="D106" s="7" t="s">
        <v>191</v>
      </c>
      <c r="E106" s="4" t="s">
        <v>10</v>
      </c>
      <c r="F106" s="4" t="s">
        <v>15</v>
      </c>
      <c r="G106" s="7" t="s">
        <v>192</v>
      </c>
      <c r="I106" s="5" t="str">
        <f t="shared" si="1"/>
        <v>46788042,YUCRA MEDINA DAYANA ELIZABETH,D. L. 1057 - CAS,D. L. 1057 - CAS,DIRECCIÓN DE GESTIÓN PEDAGOGICA,ARQUITECTA</v>
      </c>
    </row>
    <row r="107" spans="3:9" x14ac:dyDescent="0.2">
      <c r="C107" s="13">
        <v>47056526</v>
      </c>
      <c r="D107" s="7" t="s">
        <v>193</v>
      </c>
      <c r="E107" s="4" t="s">
        <v>10</v>
      </c>
      <c r="F107" s="4" t="s">
        <v>20</v>
      </c>
      <c r="G107" s="7" t="s">
        <v>194</v>
      </c>
      <c r="I107" s="5" t="str">
        <f t="shared" si="1"/>
        <v>47056526,YUGRA ESTEBA ELEAZAR,D. L. 1057 - CAS,D. L. 1057 - CAS,ADMINISTRACIÓN,ANALISTA ADMINISTRATIVO</v>
      </c>
    </row>
    <row r="108" spans="3:9" x14ac:dyDescent="0.2">
      <c r="C108" s="12">
        <v>41316337</v>
      </c>
      <c r="D108" s="3" t="s">
        <v>195</v>
      </c>
      <c r="E108" s="4" t="s">
        <v>6</v>
      </c>
      <c r="F108" s="4" t="s">
        <v>20</v>
      </c>
      <c r="G108" s="3" t="s">
        <v>46</v>
      </c>
      <c r="I108" s="5" t="str">
        <f t="shared" si="1"/>
        <v>41316337,ZAMATA CHOQUE NOEMI YANINA,D. L. 276,D. L. 276,ADMINISTRACIÓN,ESPECIALISTA ADMINISTRATIVO II</v>
      </c>
    </row>
    <row r="109" spans="3:9" x14ac:dyDescent="0.2">
      <c r="C109" s="12">
        <v>41160123</v>
      </c>
      <c r="D109" s="3" t="s">
        <v>197</v>
      </c>
      <c r="E109" s="4" t="s">
        <v>79</v>
      </c>
      <c r="F109" s="4" t="s">
        <v>20</v>
      </c>
      <c r="G109" s="3" t="s">
        <v>70</v>
      </c>
      <c r="I109" s="5" t="str">
        <f t="shared" si="1"/>
        <v>41160123,ZAPANA PAUCAR RUBEN WILBER,CONF,CONF,ADMINISTRACIÓN,DIRECTOR DE SISTEMA ADMINISTRATIVO III</v>
      </c>
    </row>
    <row r="110" spans="3:9" x14ac:dyDescent="0.2">
      <c r="C110" s="12" t="s">
        <v>247</v>
      </c>
      <c r="D110" s="3" t="s">
        <v>196</v>
      </c>
      <c r="E110" s="4" t="s">
        <v>14</v>
      </c>
      <c r="F110" s="4" t="s">
        <v>15</v>
      </c>
      <c r="G110" s="3" t="s">
        <v>16</v>
      </c>
      <c r="I110" s="5" t="str">
        <f t="shared" si="1"/>
        <v>02146584,ZEVALLOS APAZA JUAN,LEY N° 29944 – LEY DE REFORMA MAGISTERIAL,LEY N° 29944 – LEY DE REFORMA MAGISTERIAL,DIRECCIÓN DE GESTIÓN PEDAGOGICA,ESPECIALISTA EN EDUCACION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E.TEBES</cp:lastModifiedBy>
  <dcterms:created xsi:type="dcterms:W3CDTF">2026-06-15T13:18:18Z</dcterms:created>
  <dcterms:modified xsi:type="dcterms:W3CDTF">2026-06-15T14:33:32Z</dcterms:modified>
</cp:coreProperties>
</file>